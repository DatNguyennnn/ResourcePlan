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37925666-79BB-4674-957B-F43898CC332B}" xr6:coauthVersionLast="47" xr6:coauthVersionMax="47" xr10:uidLastSave="{00000000-0000-0000-0000-000000000000}"/>
  <bookViews>
    <workbookView xWindow="-120" yWindow="-120" windowWidth="29040" windowHeight="15840" activeTab="2" xr2:uid="{00000000-000D-0000-FFFF-FFFF00000000}"/>
  </bookViews>
  <sheets>
    <sheet name="Pivot" sheetId="10" r:id="rId1"/>
    <sheet name="Resource Plan" sheetId="1" r:id="rId2"/>
    <sheet name="DS Nhân viên" sheetId="4" r:id="rId3"/>
    <sheet name="DS Dự án" sheetId="2" r:id="rId4"/>
    <sheet name="Danh mục" sheetId="9" r:id="rId5"/>
    <sheet name="TH_GCSX" sheetId="7" state="hidden" r:id="rId6"/>
  </sheets>
  <definedNames>
    <definedName name="_xlnm._FilterDatabase" localSheetId="3" hidden="1">'DS Dự án'!$B$1:$F$50</definedName>
    <definedName name="_xlnm._FilterDatabase" localSheetId="2" hidden="1">'DS Nhân viên'!$B$1:$E$1</definedName>
    <definedName name="_xlnm._FilterDatabase" localSheetId="1" hidden="1">'Resource Plan'!$A$1:$AR$115</definedName>
    <definedName name="_xlnm._FilterDatabase" localSheetId="5" hidden="1">TH_GCSX!$A$1:$Q$19</definedName>
  </definedNames>
  <calcPr calcId="181029"/>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6" i="1" l="1"/>
  <c r="C116" i="1"/>
  <c r="D116" i="1"/>
  <c r="F116" i="1"/>
  <c r="G116" i="1"/>
  <c r="H116" i="1"/>
  <c r="I116" i="1"/>
  <c r="I113" i="1"/>
  <c r="H113" i="1"/>
  <c r="F113" i="1"/>
  <c r="G113" i="1"/>
  <c r="B113" i="1"/>
  <c r="C113" i="1"/>
  <c r="D113" i="1"/>
  <c r="I114" i="1"/>
  <c r="H114" i="1"/>
  <c r="G114" i="1"/>
  <c r="F114" i="1"/>
  <c r="D114" i="1"/>
  <c r="C114" i="1"/>
  <c r="B114" i="1"/>
  <c r="F112" i="1"/>
  <c r="I112" i="1"/>
  <c r="H112" i="1"/>
  <c r="G112" i="1"/>
  <c r="D112" i="1"/>
  <c r="C112" i="1"/>
  <c r="B112" i="1"/>
  <c r="D47" i="1"/>
  <c r="F110" i="1"/>
  <c r="F111" i="1"/>
  <c r="I111" i="1"/>
  <c r="H111" i="1"/>
  <c r="G111" i="1"/>
  <c r="D111" i="1"/>
  <c r="B111" i="1"/>
  <c r="I110" i="1"/>
  <c r="H110" i="1"/>
  <c r="G110" i="1"/>
  <c r="D110" i="1"/>
  <c r="C110" i="1"/>
  <c r="B110" i="1"/>
  <c r="I109" i="1"/>
  <c r="H109" i="1"/>
  <c r="G109" i="1"/>
  <c r="F109" i="1"/>
  <c r="D109" i="1"/>
  <c r="B109" i="1"/>
  <c r="I108" i="1"/>
  <c r="H108" i="1"/>
  <c r="G108" i="1"/>
  <c r="F108" i="1"/>
  <c r="D108" i="1"/>
  <c r="B108" i="1"/>
  <c r="I107" i="1"/>
  <c r="H107" i="1"/>
  <c r="G107" i="1"/>
  <c r="F107" i="1"/>
  <c r="D107" i="1"/>
  <c r="C107" i="1"/>
  <c r="B107" i="1"/>
  <c r="I106" i="1"/>
  <c r="H106" i="1"/>
  <c r="G106" i="1"/>
  <c r="F106" i="1"/>
  <c r="D106" i="1"/>
  <c r="B106" i="1"/>
  <c r="I105" i="1"/>
  <c r="H105" i="1"/>
  <c r="G105" i="1"/>
  <c r="F105" i="1"/>
  <c r="D105" i="1"/>
  <c r="C105" i="1"/>
  <c r="B105" i="1"/>
  <c r="I104" i="1"/>
  <c r="H104" i="1"/>
  <c r="G104" i="1"/>
  <c r="F104" i="1"/>
  <c r="D104" i="1"/>
  <c r="B104" i="1"/>
  <c r="I103" i="1"/>
  <c r="H103" i="1"/>
  <c r="G103" i="1"/>
  <c r="F103" i="1"/>
  <c r="D103" i="1"/>
  <c r="C103" i="1"/>
  <c r="B103" i="1"/>
  <c r="I102" i="1"/>
  <c r="H102" i="1"/>
  <c r="G102" i="1"/>
  <c r="F102" i="1"/>
  <c r="D102" i="1"/>
  <c r="B102" i="1"/>
  <c r="I101" i="1"/>
  <c r="H101" i="1"/>
  <c r="G101" i="1"/>
  <c r="F101" i="1"/>
  <c r="D101" i="1"/>
  <c r="B101" i="1"/>
  <c r="I100" i="1"/>
  <c r="H100" i="1"/>
  <c r="G100" i="1"/>
  <c r="F100" i="1"/>
  <c r="D100" i="1"/>
  <c r="B100" i="1"/>
  <c r="I99" i="1"/>
  <c r="H99" i="1"/>
  <c r="G99" i="1"/>
  <c r="F99" i="1"/>
  <c r="D99" i="1"/>
  <c r="B99" i="1"/>
  <c r="I98" i="1"/>
  <c r="H98" i="1"/>
  <c r="G98" i="1"/>
  <c r="F98" i="1"/>
  <c r="D98" i="1"/>
  <c r="B98" i="1"/>
  <c r="I97" i="1"/>
  <c r="H97" i="1"/>
  <c r="G97" i="1"/>
  <c r="F97" i="1"/>
  <c r="D97" i="1"/>
  <c r="C97" i="1"/>
  <c r="B97" i="1"/>
  <c r="I96" i="1"/>
  <c r="H96" i="1"/>
  <c r="G96" i="1"/>
  <c r="F96" i="1"/>
  <c r="D96" i="1"/>
  <c r="B96" i="1"/>
  <c r="I95" i="1"/>
  <c r="H95" i="1"/>
  <c r="G95" i="1"/>
  <c r="F95" i="1"/>
  <c r="D95" i="1"/>
  <c r="B95" i="1"/>
  <c r="B94" i="1"/>
  <c r="C94" i="1"/>
  <c r="D94" i="1"/>
  <c r="F94" i="1"/>
  <c r="G94" i="1"/>
  <c r="H94" i="1"/>
  <c r="I94" i="1"/>
  <c r="I92" i="1"/>
  <c r="H92" i="1"/>
  <c r="G92" i="1"/>
  <c r="F92" i="1"/>
  <c r="I91" i="1"/>
  <c r="H91" i="1"/>
  <c r="G91" i="1"/>
  <c r="F91" i="1"/>
  <c r="D92" i="1"/>
  <c r="C92" i="1"/>
  <c r="B92" i="1"/>
  <c r="D91" i="1"/>
  <c r="C91" i="1"/>
  <c r="B91" i="1"/>
  <c r="I93" i="1"/>
  <c r="H93" i="1"/>
  <c r="G93" i="1"/>
  <c r="F93" i="1"/>
  <c r="I90" i="1"/>
  <c r="H90" i="1"/>
  <c r="G90" i="1"/>
  <c r="F90" i="1"/>
  <c r="D93" i="1"/>
  <c r="C93" i="1"/>
  <c r="B93" i="1"/>
  <c r="D90" i="1"/>
  <c r="C90" i="1"/>
  <c r="B90" i="1"/>
  <c r="I18" i="1"/>
  <c r="H18" i="1"/>
  <c r="G18" i="1"/>
  <c r="F18" i="1"/>
  <c r="D18" i="1"/>
  <c r="C18" i="1"/>
  <c r="B18" i="1"/>
  <c r="B22" i="1"/>
  <c r="C22" i="1"/>
  <c r="D22" i="1"/>
  <c r="F22" i="1"/>
  <c r="G22" i="1"/>
  <c r="H22" i="1"/>
  <c r="I22" i="1"/>
  <c r="A27" i="4"/>
  <c r="I33" i="1"/>
  <c r="B33" i="1"/>
  <c r="C33" i="1"/>
  <c r="D33" i="1"/>
  <c r="H33" i="1"/>
  <c r="F33" i="1"/>
  <c r="G33" i="1"/>
  <c r="B78" i="1"/>
  <c r="G79" i="1"/>
  <c r="I79" i="1"/>
  <c r="H79" i="1"/>
  <c r="F79" i="1"/>
  <c r="D79" i="1"/>
  <c r="C79" i="1"/>
  <c r="B79" i="1"/>
  <c r="I56" i="1"/>
  <c r="H56" i="1"/>
  <c r="G56" i="1"/>
  <c r="F56" i="1"/>
  <c r="D56" i="1"/>
  <c r="C56" i="1"/>
  <c r="B56" i="1"/>
  <c r="I80" i="1"/>
  <c r="H80" i="1"/>
  <c r="G80" i="1"/>
  <c r="F80" i="1"/>
  <c r="D80" i="1"/>
  <c r="B80" i="1"/>
  <c r="C80" i="1" s="1"/>
  <c r="I77" i="1"/>
  <c r="H77" i="1"/>
  <c r="G77" i="1"/>
  <c r="F77" i="1"/>
  <c r="I76" i="1"/>
  <c r="H76" i="1"/>
  <c r="G76" i="1"/>
  <c r="F76" i="1"/>
  <c r="D77" i="1"/>
  <c r="B77" i="1"/>
  <c r="C77" i="1" s="1"/>
  <c r="D76" i="1"/>
  <c r="B76" i="1"/>
  <c r="C76" i="1" s="1"/>
  <c r="F52" i="1"/>
  <c r="I51" i="1"/>
  <c r="I47" i="1"/>
  <c r="B47" i="1"/>
  <c r="B48" i="1"/>
  <c r="C48" i="1"/>
  <c r="C47" i="1"/>
  <c r="F47" i="1"/>
  <c r="G47" i="1"/>
  <c r="D48" i="1"/>
  <c r="F48" i="1"/>
  <c r="G48" i="1"/>
  <c r="I48" i="1"/>
  <c r="B49" i="1"/>
  <c r="C49" i="1"/>
  <c r="D49" i="1"/>
  <c r="F49" i="1"/>
  <c r="G49" i="1"/>
  <c r="I49" i="1"/>
  <c r="B50" i="1"/>
  <c r="C50" i="1"/>
  <c r="D50" i="1"/>
  <c r="F50" i="1"/>
  <c r="G50" i="1"/>
  <c r="I50" i="1"/>
  <c r="B51" i="1"/>
  <c r="C51" i="1"/>
  <c r="D51" i="1"/>
  <c r="F51" i="1"/>
  <c r="G51" i="1"/>
  <c r="H19" i="1"/>
  <c r="H89" i="1"/>
  <c r="H45" i="1"/>
  <c r="H88" i="1"/>
  <c r="H83" i="1"/>
  <c r="H82" i="1"/>
  <c r="H87" i="1"/>
  <c r="H86" i="1"/>
  <c r="H85" i="1"/>
  <c r="H84" i="1"/>
  <c r="H44" i="1"/>
  <c r="H43" i="1"/>
  <c r="H81" i="1"/>
  <c r="H40" i="1"/>
  <c r="H78" i="1"/>
  <c r="H42" i="1"/>
  <c r="H52" i="1"/>
  <c r="H57" i="1"/>
  <c r="H58" i="1"/>
  <c r="H54" i="1"/>
  <c r="H55" i="1"/>
  <c r="H70" i="1"/>
  <c r="H72" i="1"/>
  <c r="H71" i="1"/>
  <c r="H75" i="1"/>
  <c r="H73" i="1"/>
  <c r="H46" i="1"/>
  <c r="H74" i="1"/>
  <c r="H66" i="1"/>
  <c r="H59" i="1"/>
  <c r="H62" i="1"/>
  <c r="H61" i="1"/>
  <c r="H67" i="1"/>
  <c r="H63" i="1"/>
  <c r="H27" i="1"/>
  <c r="H24" i="1"/>
  <c r="H25" i="1"/>
  <c r="H26" i="1"/>
  <c r="H28" i="1"/>
  <c r="H65" i="1"/>
  <c r="H68" i="1"/>
  <c r="H39" i="1"/>
  <c r="H38" i="1"/>
  <c r="H41" i="1"/>
  <c r="H21" i="1"/>
  <c r="H5" i="1"/>
  <c r="H4" i="1"/>
  <c r="H2" i="1"/>
  <c r="H3" i="1"/>
  <c r="H12" i="1"/>
  <c r="H15" i="1"/>
  <c r="H20" i="1"/>
  <c r="H60" i="1"/>
  <c r="H64" i="1"/>
  <c r="H69" i="1"/>
  <c r="H16" i="1"/>
  <c r="H17" i="1"/>
  <c r="H13" i="1"/>
  <c r="H14" i="1"/>
  <c r="H23" i="1"/>
  <c r="H8" i="1"/>
  <c r="H9" i="1"/>
  <c r="H6" i="1"/>
  <c r="H7" i="1"/>
  <c r="H34" i="1"/>
  <c r="H53" i="1"/>
  <c r="H35" i="1"/>
  <c r="H36" i="1"/>
  <c r="H37" i="1"/>
  <c r="H10" i="1"/>
  <c r="H11" i="1"/>
  <c r="H30" i="1"/>
  <c r="H29" i="1"/>
  <c r="H31" i="1"/>
  <c r="H32" i="1"/>
  <c r="I57" i="1"/>
  <c r="G57" i="1"/>
  <c r="F57" i="1"/>
  <c r="D57" i="1"/>
  <c r="B57" i="1"/>
  <c r="I58" i="1"/>
  <c r="G58" i="1"/>
  <c r="F58" i="1"/>
  <c r="D58" i="1"/>
  <c r="B58" i="1"/>
  <c r="I54" i="1"/>
  <c r="G54" i="1"/>
  <c r="F54" i="1"/>
  <c r="D54" i="1"/>
  <c r="B54" i="1"/>
  <c r="I55" i="1"/>
  <c r="G55" i="1"/>
  <c r="F55" i="1"/>
  <c r="D55" i="1"/>
  <c r="B55" i="1"/>
  <c r="I70" i="1"/>
  <c r="G70" i="1"/>
  <c r="F70" i="1"/>
  <c r="D70" i="1"/>
  <c r="B70" i="1"/>
  <c r="I72" i="1"/>
  <c r="G72" i="1"/>
  <c r="F72" i="1"/>
  <c r="D72" i="1"/>
  <c r="B72" i="1"/>
  <c r="I71" i="1"/>
  <c r="G71" i="1"/>
  <c r="F71" i="1"/>
  <c r="D71" i="1"/>
  <c r="B71" i="1"/>
  <c r="I75" i="1"/>
  <c r="G75" i="1"/>
  <c r="F75" i="1"/>
  <c r="D75" i="1"/>
  <c r="B75" i="1"/>
  <c r="I73" i="1"/>
  <c r="G73" i="1"/>
  <c r="F73" i="1"/>
  <c r="D73" i="1"/>
  <c r="B73" i="1"/>
  <c r="A19" i="4"/>
  <c r="A20" i="4" s="1"/>
  <c r="A21" i="4" s="1"/>
  <c r="A22" i="4" s="1"/>
  <c r="A23" i="4" s="1"/>
  <c r="A24" i="4" s="1"/>
  <c r="A25" i="4" s="1"/>
  <c r="A26" i="4" s="1"/>
  <c r="I46" i="1"/>
  <c r="G46" i="1"/>
  <c r="F46" i="1"/>
  <c r="D46" i="1"/>
  <c r="C46" i="1"/>
  <c r="B46" i="1"/>
  <c r="F74" i="1"/>
  <c r="I74" i="1"/>
  <c r="G74" i="1"/>
  <c r="D74" i="1"/>
  <c r="C74" i="1"/>
  <c r="B74" i="1"/>
  <c r="A46" i="4"/>
  <c r="A45" i="4"/>
  <c r="A44" i="4"/>
  <c r="A43" i="4"/>
  <c r="A42" i="4"/>
  <c r="A41" i="4"/>
  <c r="A40" i="4"/>
  <c r="A39" i="4"/>
  <c r="A38" i="4"/>
  <c r="A37" i="4"/>
  <c r="A36" i="4"/>
  <c r="A35" i="4"/>
  <c r="A34" i="4"/>
  <c r="A33" i="4"/>
  <c r="A32" i="4"/>
  <c r="A31" i="4"/>
  <c r="A30" i="4"/>
  <c r="A29" i="4"/>
  <c r="A28" i="4"/>
  <c r="A2" i="4"/>
  <c r="A3" i="4" s="1"/>
  <c r="A4" i="4" s="1"/>
  <c r="A5" i="4" s="1"/>
  <c r="A6" i="4" s="1"/>
  <c r="A7" i="4" s="1"/>
  <c r="A8" i="4" s="1"/>
  <c r="A9" i="4" s="1"/>
  <c r="A10" i="4" s="1"/>
  <c r="A11" i="4" s="1"/>
  <c r="A12" i="4" s="1"/>
  <c r="A13" i="4" s="1"/>
  <c r="A14" i="4" s="1"/>
  <c r="A15" i="4" s="1"/>
  <c r="A16" i="4" s="1"/>
  <c r="A17" i="4" s="1"/>
  <c r="A18" i="4" s="1"/>
  <c r="A50" i="2"/>
  <c r="A49" i="2"/>
  <c r="A48" i="2"/>
  <c r="A47" i="2"/>
  <c r="A46" i="2"/>
  <c r="A2" i="2"/>
  <c r="A3" i="2" s="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B89" i="1"/>
  <c r="B45" i="1"/>
  <c r="B88" i="1"/>
  <c r="B83" i="1"/>
  <c r="B82" i="1"/>
  <c r="B87" i="1"/>
  <c r="B86" i="1"/>
  <c r="B85" i="1"/>
  <c r="B84" i="1"/>
  <c r="B44" i="1"/>
  <c r="B43" i="1"/>
  <c r="B81" i="1"/>
  <c r="B40" i="1"/>
  <c r="B42" i="1"/>
  <c r="B52" i="1"/>
  <c r="B19" i="1"/>
  <c r="B66" i="1"/>
  <c r="B59" i="1"/>
  <c r="B62" i="1"/>
  <c r="B61" i="1"/>
  <c r="B67" i="1"/>
  <c r="B63" i="1"/>
  <c r="B27" i="1"/>
  <c r="B24" i="1"/>
  <c r="B25" i="1"/>
  <c r="B26" i="1"/>
  <c r="B28" i="1"/>
  <c r="B65" i="1"/>
  <c r="B68" i="1"/>
  <c r="B39" i="1"/>
  <c r="C39" i="1" s="1"/>
  <c r="B38" i="1"/>
  <c r="C38" i="1" s="1"/>
  <c r="B41" i="1"/>
  <c r="C41" i="1" s="1"/>
  <c r="B21" i="1"/>
  <c r="B5" i="1"/>
  <c r="B4" i="1"/>
  <c r="B2" i="1"/>
  <c r="B3" i="1"/>
  <c r="I19" i="1"/>
  <c r="I66" i="1"/>
  <c r="G19" i="1"/>
  <c r="F19" i="1"/>
  <c r="G66" i="1"/>
  <c r="F66" i="1"/>
  <c r="G59" i="1"/>
  <c r="F59" i="1"/>
  <c r="G62" i="1"/>
  <c r="F62" i="1"/>
  <c r="G61" i="1"/>
  <c r="F61" i="1"/>
  <c r="G67" i="1"/>
  <c r="F67" i="1"/>
  <c r="G63" i="1"/>
  <c r="F63" i="1"/>
  <c r="I89" i="1"/>
  <c r="I45" i="1"/>
  <c r="I88" i="1"/>
  <c r="I83" i="1"/>
  <c r="I82" i="1"/>
  <c r="I87" i="1"/>
  <c r="I86" i="1"/>
  <c r="I85" i="1"/>
  <c r="I84" i="1"/>
  <c r="I44" i="1"/>
  <c r="I43" i="1"/>
  <c r="I81" i="1"/>
  <c r="I40" i="1"/>
  <c r="I78" i="1"/>
  <c r="I42" i="1"/>
  <c r="I52" i="1"/>
  <c r="I59" i="1"/>
  <c r="I62" i="1"/>
  <c r="I61" i="1"/>
  <c r="I67" i="1"/>
  <c r="I63" i="1"/>
  <c r="I27" i="1"/>
  <c r="I24" i="1"/>
  <c r="I25" i="1"/>
  <c r="I26" i="1"/>
  <c r="I65" i="1"/>
  <c r="I68" i="1"/>
  <c r="I39" i="1"/>
  <c r="I38" i="1"/>
  <c r="I41" i="1"/>
  <c r="I21" i="1"/>
  <c r="I5" i="1"/>
  <c r="I4" i="1"/>
  <c r="I2" i="1"/>
  <c r="I3" i="1"/>
  <c r="I12" i="1"/>
  <c r="I15" i="1"/>
  <c r="I20" i="1"/>
  <c r="I60" i="1"/>
  <c r="I64" i="1"/>
  <c r="I69" i="1"/>
  <c r="I16" i="1"/>
  <c r="I17" i="1"/>
  <c r="I13" i="1"/>
  <c r="I14" i="1"/>
  <c r="I23" i="1"/>
  <c r="I8" i="1"/>
  <c r="I9" i="1"/>
  <c r="I6" i="1"/>
  <c r="I7" i="1"/>
  <c r="I34" i="1"/>
  <c r="I53" i="1"/>
  <c r="I35" i="1"/>
  <c r="I36" i="1"/>
  <c r="I37" i="1"/>
  <c r="I10" i="1"/>
  <c r="I11" i="1"/>
  <c r="I30" i="1"/>
  <c r="I29" i="1"/>
  <c r="I31" i="1"/>
  <c r="I32" i="1"/>
  <c r="B12" i="1"/>
  <c r="B15" i="1"/>
  <c r="D89" i="1"/>
  <c r="D45" i="1"/>
  <c r="D88" i="1"/>
  <c r="D83" i="1"/>
  <c r="D82" i="1"/>
  <c r="D87" i="1"/>
  <c r="D86" i="1"/>
  <c r="D85" i="1"/>
  <c r="D84" i="1"/>
  <c r="D44" i="1"/>
  <c r="D43" i="1"/>
  <c r="D81" i="1"/>
  <c r="D40" i="1"/>
  <c r="D78" i="1"/>
  <c r="D42" i="1"/>
  <c r="D52" i="1"/>
  <c r="D19" i="1"/>
  <c r="D66" i="1"/>
  <c r="D59" i="1"/>
  <c r="D62" i="1"/>
  <c r="D61" i="1"/>
  <c r="D67" i="1"/>
  <c r="D63" i="1"/>
  <c r="D27" i="1"/>
  <c r="D24" i="1"/>
  <c r="D25" i="1"/>
  <c r="D26" i="1"/>
  <c r="D28" i="1"/>
  <c r="D65" i="1"/>
  <c r="D68" i="1"/>
  <c r="D39" i="1"/>
  <c r="D38" i="1"/>
  <c r="D41" i="1"/>
  <c r="D21" i="1"/>
  <c r="D5" i="1"/>
  <c r="D4" i="1"/>
  <c r="D2" i="1"/>
  <c r="D3" i="1"/>
  <c r="D12" i="1"/>
  <c r="D15" i="1"/>
  <c r="D20" i="1"/>
  <c r="D60" i="1"/>
  <c r="D64" i="1"/>
  <c r="D69" i="1"/>
  <c r="D16" i="1"/>
  <c r="D17" i="1"/>
  <c r="D13" i="1"/>
  <c r="D14" i="1"/>
  <c r="D23" i="1"/>
  <c r="D8" i="1"/>
  <c r="D9" i="1"/>
  <c r="D6" i="1"/>
  <c r="D7" i="1"/>
  <c r="D34" i="1"/>
  <c r="D53" i="1"/>
  <c r="D35" i="1"/>
  <c r="D36" i="1"/>
  <c r="D37" i="1"/>
  <c r="D10" i="1"/>
  <c r="D11" i="1"/>
  <c r="D30" i="1"/>
  <c r="D29" i="1"/>
  <c r="D31" i="1"/>
  <c r="D32" i="1"/>
  <c r="C19" i="1"/>
  <c r="B11" i="1"/>
  <c r="G28" i="1"/>
  <c r="G26" i="1"/>
  <c r="G25" i="1"/>
  <c r="G24" i="1"/>
  <c r="G27" i="1"/>
  <c r="C28" i="1"/>
  <c r="F28" i="1"/>
  <c r="C26" i="1"/>
  <c r="F26" i="1"/>
  <c r="C25" i="1"/>
  <c r="F25" i="1"/>
  <c r="C24" i="1"/>
  <c r="F24" i="1"/>
  <c r="C27" i="1"/>
  <c r="F27" i="1"/>
  <c r="B29" i="1"/>
  <c r="G68" i="1"/>
  <c r="F68" i="1"/>
  <c r="C68" i="1"/>
  <c r="F29" i="1"/>
  <c r="G29" i="1"/>
  <c r="G41" i="1"/>
  <c r="G21" i="1"/>
  <c r="F21" i="1"/>
  <c r="C21" i="1"/>
  <c r="G5" i="1"/>
  <c r="F5" i="1"/>
  <c r="C5" i="1"/>
  <c r="G4" i="1"/>
  <c r="F4" i="1"/>
  <c r="C4" i="1"/>
  <c r="G2" i="1"/>
  <c r="F2" i="1"/>
  <c r="C2" i="1"/>
  <c r="G3" i="1"/>
  <c r="F3" i="1"/>
  <c r="C3" i="1"/>
  <c r="G12" i="1"/>
  <c r="F12" i="1"/>
  <c r="G15" i="1"/>
  <c r="F15" i="1"/>
  <c r="C15" i="1"/>
  <c r="G13" i="1"/>
  <c r="F13" i="1"/>
  <c r="B13" i="1"/>
  <c r="C13" i="1"/>
  <c r="F34" i="1"/>
  <c r="G34" i="1"/>
  <c r="C34" i="1"/>
  <c r="B34" i="1"/>
  <c r="G20" i="1"/>
  <c r="F20" i="1"/>
  <c r="C20" i="1"/>
  <c r="B20" i="1"/>
  <c r="G53" i="1"/>
  <c r="F53" i="1"/>
  <c r="C53" i="1"/>
  <c r="B53" i="1"/>
  <c r="G60" i="1"/>
  <c r="F60" i="1"/>
  <c r="C60" i="1"/>
  <c r="B60" i="1"/>
  <c r="C29" i="1"/>
  <c r="C32" i="1"/>
  <c r="C31" i="1"/>
  <c r="C30" i="1"/>
  <c r="C11" i="1"/>
  <c r="C10" i="1"/>
  <c r="C37" i="1"/>
  <c r="C36" i="1"/>
  <c r="C35" i="1"/>
  <c r="C7" i="1"/>
  <c r="C6" i="1"/>
  <c r="C9" i="1"/>
  <c r="C8" i="1"/>
  <c r="C23" i="1"/>
  <c r="C14" i="1"/>
  <c r="C17" i="1"/>
  <c r="C16" i="1"/>
  <c r="C69" i="1"/>
  <c r="C64" i="1"/>
  <c r="C65" i="1"/>
  <c r="C52" i="1"/>
  <c r="C42" i="1"/>
  <c r="C78" i="1"/>
  <c r="C40" i="1"/>
  <c r="C81" i="1"/>
  <c r="C43" i="1"/>
  <c r="C44" i="1"/>
  <c r="C84" i="1"/>
  <c r="C85" i="1"/>
  <c r="C86" i="1"/>
  <c r="C87" i="1"/>
  <c r="C82" i="1"/>
  <c r="C83" i="1"/>
  <c r="C88" i="1"/>
  <c r="C45" i="1"/>
  <c r="C89" i="1"/>
  <c r="G8" i="1"/>
  <c r="F8" i="1"/>
  <c r="B8" i="1"/>
  <c r="G23" i="1"/>
  <c r="F23" i="1"/>
  <c r="F9" i="1"/>
  <c r="G9" i="1"/>
  <c r="G7" i="1"/>
  <c r="F7" i="1"/>
  <c r="B35" i="1"/>
  <c r="B36" i="1"/>
  <c r="B37" i="1"/>
  <c r="B23" i="1"/>
  <c r="B9" i="1"/>
  <c r="F10" i="1"/>
  <c r="G10" i="1"/>
  <c r="B10" i="1"/>
  <c r="G11" i="1"/>
  <c r="F11" i="1"/>
  <c r="F16" i="1"/>
  <c r="B69" i="1" l="1"/>
  <c r="B64" i="1"/>
  <c r="G6" i="1" l="1"/>
  <c r="G35" i="1"/>
  <c r="F35" i="1"/>
  <c r="G89" i="1"/>
  <c r="F89" i="1"/>
  <c r="G45" i="1"/>
  <c r="F45" i="1"/>
  <c r="G88" i="1"/>
  <c r="F88" i="1"/>
  <c r="G83" i="1"/>
  <c r="F83" i="1"/>
  <c r="G82" i="1"/>
  <c r="F82" i="1"/>
  <c r="G87" i="1"/>
  <c r="F87" i="1"/>
  <c r="G86" i="1"/>
  <c r="F86" i="1"/>
  <c r="G85" i="1"/>
  <c r="F85" i="1"/>
  <c r="G84" i="1"/>
  <c r="F84" i="1"/>
  <c r="G44" i="1"/>
  <c r="F44" i="1"/>
  <c r="G43" i="1"/>
  <c r="F43" i="1"/>
  <c r="G81" i="1"/>
  <c r="F81" i="1"/>
  <c r="G40" i="1"/>
  <c r="F40" i="1"/>
  <c r="G78" i="1"/>
  <c r="F78" i="1"/>
  <c r="G42" i="1"/>
  <c r="F42" i="1"/>
  <c r="G52" i="1"/>
  <c r="G65" i="1"/>
  <c r="F65" i="1"/>
  <c r="G39" i="1"/>
  <c r="F39" i="1"/>
  <c r="G38" i="1"/>
  <c r="F38" i="1"/>
  <c r="F41" i="1"/>
  <c r="G64" i="1"/>
  <c r="F64" i="1"/>
  <c r="G69" i="1"/>
  <c r="F69" i="1"/>
  <c r="G16" i="1"/>
  <c r="B16" i="1"/>
  <c r="G17" i="1"/>
  <c r="F17" i="1"/>
  <c r="B17" i="1"/>
  <c r="G14" i="1"/>
  <c r="F14" i="1"/>
  <c r="B14" i="1"/>
  <c r="F6" i="1"/>
  <c r="B6" i="1"/>
  <c r="B7" i="1"/>
  <c r="G36" i="1"/>
  <c r="F36" i="1"/>
  <c r="G37" i="1"/>
  <c r="F37" i="1"/>
  <c r="G30" i="1"/>
  <c r="F30" i="1"/>
  <c r="B30" i="1"/>
  <c r="G31" i="1"/>
  <c r="F31" i="1"/>
  <c r="B31" i="1"/>
  <c r="G32" i="1"/>
  <c r="F32" i="1"/>
  <c r="B32" i="1"/>
  <c r="B2" i="7" l="1" a="1"/>
  <c r="A11" i="7" l="1"/>
  <c r="C11" i="7" s="1"/>
  <c r="A10" i="7"/>
  <c r="C10" i="7" s="1"/>
  <c r="A17" i="7"/>
  <c r="C17" i="7" s="1"/>
  <c r="A9" i="7"/>
  <c r="C9" i="7" s="1"/>
  <c r="A16" i="7"/>
  <c r="C16" i="7" s="1"/>
  <c r="A8" i="7"/>
  <c r="C8" i="7" s="1"/>
  <c r="A13" i="7"/>
  <c r="C13" i="7" s="1"/>
  <c r="A12" i="7"/>
  <c r="C12" i="7" s="1"/>
  <c r="A15" i="7"/>
  <c r="C15" i="7" s="1"/>
  <c r="A14" i="7"/>
  <c r="C14" i="7" s="1"/>
  <c r="A7" i="7"/>
  <c r="C7" i="7" s="1"/>
  <c r="B2" i="7"/>
  <c r="A2" i="7" s="1"/>
  <c r="C2" i="7" s="1"/>
  <c r="A6" i="7"/>
  <c r="C6" i="7" s="1"/>
  <c r="A5" i="7"/>
  <c r="C5" i="7" s="1"/>
  <c r="A4" i="7"/>
  <c r="C4" i="7" s="1"/>
  <c r="A3" i="7"/>
  <c r="C3" i="7" s="1"/>
  <c r="K1" i="1" l="1"/>
  <c r="L1" i="1" l="1"/>
  <c r="M1" i="1" l="1"/>
  <c r="N1" i="1" l="1"/>
  <c r="O1" i="1" l="1"/>
  <c r="P1" i="1" l="1"/>
  <c r="Q1" i="1" l="1"/>
  <c r="R1" i="1" l="1"/>
  <c r="S1" i="1" l="1"/>
  <c r="T1" i="1" l="1"/>
  <c r="U1" i="1" l="1"/>
  <c r="V1" i="1" l="1"/>
  <c r="W1" i="1" l="1"/>
  <c r="X1" i="1" l="1"/>
  <c r="Y1" i="1" l="1"/>
  <c r="Z1" i="1" l="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H3" i="7" l="1"/>
  <c r="K3" i="7"/>
  <c r="N3" i="7"/>
  <c r="Q3" i="7"/>
  <c r="K5" i="7"/>
  <c r="N5" i="7"/>
  <c r="Q5" i="7"/>
  <c r="I3" i="7"/>
  <c r="L3" i="7"/>
  <c r="O3" i="7"/>
  <c r="L4" i="7"/>
  <c r="G3" i="7"/>
  <c r="J3" i="7"/>
  <c r="M3" i="7"/>
  <c r="P3" i="7"/>
  <c r="G4" i="7"/>
  <c r="J4" i="7"/>
  <c r="M4" i="7"/>
  <c r="M9" i="7"/>
  <c r="O5" i="7" l="1"/>
  <c r="N4" i="7"/>
  <c r="H5" i="7"/>
  <c r="M5" i="7"/>
  <c r="O4" i="7"/>
  <c r="P5" i="7"/>
  <c r="J5" i="7"/>
  <c r="H4" i="7"/>
  <c r="L5" i="7"/>
  <c r="I5" i="7"/>
  <c r="G5" i="7"/>
  <c r="I4" i="7"/>
  <c r="P4" i="7"/>
  <c r="O6" i="7"/>
  <c r="I6" i="7"/>
  <c r="G6" i="7"/>
  <c r="O17" i="7"/>
  <c r="M6" i="7"/>
  <c r="J6" i="7"/>
  <c r="Q17" i="7"/>
  <c r="N17" i="7"/>
  <c r="M17" i="7"/>
  <c r="P17" i="7"/>
  <c r="L17" i="7"/>
  <c r="F17" i="7"/>
  <c r="F12" i="7"/>
  <c r="G17" i="7"/>
  <c r="P6" i="7"/>
  <c r="L6" i="7"/>
  <c r="K17" i="7"/>
  <c r="G11" i="7"/>
  <c r="I17" i="7"/>
  <c r="H17" i="7"/>
  <c r="J17" i="7"/>
  <c r="F4" i="7"/>
  <c r="E4" i="7" s="1"/>
  <c r="F6" i="7"/>
  <c r="E6" i="7" s="1"/>
  <c r="F14" i="7"/>
  <c r="N14" i="7"/>
  <c r="K14" i="7"/>
  <c r="H14" i="7"/>
  <c r="O13" i="7"/>
  <c r="Q13" i="7"/>
  <c r="N13" i="7"/>
  <c r="K13" i="7"/>
  <c r="H13" i="7"/>
  <c r="P8" i="7"/>
  <c r="M8" i="7"/>
  <c r="J8" i="7"/>
  <c r="G8" i="7"/>
  <c r="O8" i="7"/>
  <c r="L8" i="7"/>
  <c r="I8" i="7"/>
  <c r="F8" i="7"/>
  <c r="E8" i="7" s="1"/>
  <c r="Q8" i="7"/>
  <c r="N8" i="7"/>
  <c r="K8" i="7"/>
  <c r="H8" i="7"/>
  <c r="F5" i="7"/>
  <c r="E5" i="7" s="1"/>
  <c r="Q6" i="7"/>
  <c r="N6" i="7"/>
  <c r="K6" i="7"/>
  <c r="H6" i="7"/>
  <c r="Q4" i="7"/>
  <c r="K4" i="7"/>
  <c r="F3" i="7"/>
  <c r="E3" i="7" s="1"/>
  <c r="M13" i="7"/>
  <c r="O14" i="7"/>
  <c r="J14" i="7"/>
  <c r="L14" i="7"/>
  <c r="L13" i="7"/>
  <c r="I14" i="7"/>
  <c r="F13" i="7"/>
  <c r="M11" i="7"/>
  <c r="I13" i="7"/>
  <c r="I11" i="7"/>
  <c r="Q14" i="7"/>
  <c r="P14" i="7"/>
  <c r="M14" i="7"/>
  <c r="G14" i="7"/>
  <c r="P13" i="7"/>
  <c r="J13" i="7"/>
  <c r="G13" i="7"/>
  <c r="O15" i="7"/>
  <c r="O16" i="7"/>
  <c r="L15" i="7"/>
  <c r="L16" i="7"/>
  <c r="I15" i="7"/>
  <c r="I16" i="7"/>
  <c r="F15" i="7"/>
  <c r="F16" i="7"/>
  <c r="O12" i="7"/>
  <c r="L12" i="7"/>
  <c r="I12" i="7"/>
  <c r="Q15" i="7"/>
  <c r="Q16" i="7"/>
  <c r="N15" i="7"/>
  <c r="N16" i="7"/>
  <c r="K15" i="7"/>
  <c r="K16" i="7"/>
  <c r="H15" i="7"/>
  <c r="H16" i="7"/>
  <c r="Q12" i="7"/>
  <c r="N12" i="7"/>
  <c r="K12" i="7"/>
  <c r="H12" i="7"/>
  <c r="P15" i="7"/>
  <c r="P16" i="7"/>
  <c r="M15" i="7"/>
  <c r="M16" i="7"/>
  <c r="J15" i="7"/>
  <c r="J16" i="7"/>
  <c r="G15" i="7"/>
  <c r="G16" i="7"/>
  <c r="P12" i="7"/>
  <c r="M12" i="7"/>
  <c r="J12" i="7"/>
  <c r="G12" i="7"/>
  <c r="J11" i="7"/>
  <c r="M10" i="7"/>
  <c r="H10" i="7"/>
  <c r="K10" i="7"/>
  <c r="Q10" i="7"/>
  <c r="P11" i="7"/>
  <c r="J9" i="7"/>
  <c r="O11" i="7"/>
  <c r="G9" i="7"/>
  <c r="M7" i="7"/>
  <c r="J2" i="7"/>
  <c r="J10" i="7"/>
  <c r="I9" i="7"/>
  <c r="O7" i="7"/>
  <c r="F7" i="7"/>
  <c r="L2" i="7"/>
  <c r="N11" i="7"/>
  <c r="K9" i="7"/>
  <c r="Q7" i="7"/>
  <c r="H7" i="7"/>
  <c r="N2" i="7"/>
  <c r="F10" i="7"/>
  <c r="O10" i="7"/>
  <c r="L11" i="7"/>
  <c r="J7" i="7"/>
  <c r="P2" i="7"/>
  <c r="G2" i="7"/>
  <c r="O9" i="7"/>
  <c r="F9" i="7"/>
  <c r="L7" i="7"/>
  <c r="I2" i="7"/>
  <c r="K11" i="7"/>
  <c r="Q9" i="7"/>
  <c r="H9" i="7"/>
  <c r="N7" i="7"/>
  <c r="K2" i="7"/>
  <c r="I10" i="7"/>
  <c r="F11" i="7"/>
  <c r="P9" i="7"/>
  <c r="P7" i="7"/>
  <c r="G7" i="7"/>
  <c r="M2" i="7"/>
  <c r="G10" i="7"/>
  <c r="P10" i="7"/>
  <c r="L9" i="7"/>
  <c r="I7" i="7"/>
  <c r="O2" i="7"/>
  <c r="F2" i="7"/>
  <c r="N10" i="7"/>
  <c r="Q11" i="7"/>
  <c r="H11" i="7"/>
  <c r="N9" i="7"/>
  <c r="K7" i="7"/>
  <c r="Q2" i="7"/>
  <c r="H2" i="7"/>
  <c r="L10" i="7"/>
  <c r="E17" i="7" l="1"/>
  <c r="E13" i="7"/>
  <c r="E14" i="7"/>
  <c r="E12" i="7"/>
  <c r="E15" i="7"/>
  <c r="E16" i="7"/>
  <c r="E9" i="7"/>
  <c r="E7" i="7"/>
  <c r="E10" i="7"/>
  <c r="E2" i="7"/>
  <c r="E11" i="7"/>
  <c r="B27" i="7"/>
  <c r="B26" i="7"/>
  <c r="B25" i="7"/>
  <c r="B24" i="7"/>
  <c r="B23" i="7"/>
  <c r="B22" i="7"/>
  <c r="B21" i="7"/>
  <c r="B20" i="7"/>
  <c r="B19" i="7"/>
  <c r="B18" i="7"/>
  <c r="B17" i="7"/>
  <c r="B16" i="7"/>
  <c r="B15" i="7"/>
  <c r="B14" i="7"/>
  <c r="B13" i="7"/>
  <c r="B12" i="7"/>
  <c r="B11" i="7"/>
  <c r="B10" i="7"/>
  <c r="B9" i="7"/>
  <c r="B8" i="7"/>
  <c r="B7" i="7"/>
  <c r="B6" i="7"/>
  <c r="B5" i="7"/>
  <c r="B4" i="7"/>
  <c r="B3"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<sst xmlns="http://schemas.openxmlformats.org/spreadsheetml/2006/main" count="718" uniqueCount="237">
  <si>
    <t>Trạng thái dự án</t>
  </si>
  <si>
    <t>(Multiple Items)</t>
  </si>
  <si>
    <t>Tên dự án</t>
  </si>
  <si>
    <t>(All)</t>
  </si>
  <si>
    <t>Trạng thái nhân viên</t>
  </si>
  <si>
    <t>Phòng</t>
  </si>
  <si>
    <t>Họ và Tên</t>
  </si>
  <si>
    <t>Sum of 1/5/2026</t>
  </si>
  <si>
    <t>Sum of 1/12/2026</t>
  </si>
  <si>
    <t>Sum of 1/19/2026</t>
  </si>
  <si>
    <t>Sum of 1/26/2026</t>
  </si>
  <si>
    <t>Sum of 2/2/2026</t>
  </si>
  <si>
    <t>Sum of 2/9/2026</t>
  </si>
  <si>
    <t>Sum of 2/16/2026</t>
  </si>
  <si>
    <t>Sum of 2/23/2026</t>
  </si>
  <si>
    <t>Sum of 3/2/2026</t>
  </si>
  <si>
    <t>Sum of 3/9/2026</t>
  </si>
  <si>
    <t>Sum of 3/16/2026</t>
  </si>
  <si>
    <t>Sum of 3/23/2026</t>
  </si>
  <si>
    <t>Sum of 3/30/2026</t>
  </si>
  <si>
    <t>Sum of 4/6/2026</t>
  </si>
  <si>
    <t>Sum of 4/13/2026</t>
  </si>
  <si>
    <t>Sum of 4/20/2026</t>
  </si>
  <si>
    <t>Sum of 4/27/2026</t>
  </si>
  <si>
    <t>Sum of 5/4/2026</t>
  </si>
  <si>
    <t>Sum of 5/11/2026</t>
  </si>
  <si>
    <t>Sum of 5/18/2026</t>
  </si>
  <si>
    <t>Sum of 5/25/2026</t>
  </si>
  <si>
    <t>Sum of 6/1/2026</t>
  </si>
  <si>
    <t>Sum of 6/8/2026</t>
  </si>
  <si>
    <t>Sum of 6/15/2026</t>
  </si>
  <si>
    <t>Sum of 6/22/2026</t>
  </si>
  <si>
    <t>Sum of 6/29/2026</t>
  </si>
  <si>
    <t>P.Kỹ thuật IBS</t>
  </si>
  <si>
    <t>Đỗ Trung Hiếu</t>
  </si>
  <si>
    <t>Lê Chí Công</t>
  </si>
  <si>
    <t>Lê Đình Phúc</t>
  </si>
  <si>
    <t>Lê Minh Long</t>
  </si>
  <si>
    <t>Ngô Thị Nhung</t>
  </si>
  <si>
    <t>Nguyễn Thị Trà Giang</t>
  </si>
  <si>
    <t>Nguyễn Việt Lâm</t>
  </si>
  <si>
    <t>Trịnh Ngọc Tâm</t>
  </si>
  <si>
    <t>Nguyễn Minh Hiếu</t>
  </si>
  <si>
    <t>P.Nghiệp vụ IBS</t>
  </si>
  <si>
    <t>Đinh Đức Minh</t>
  </si>
  <si>
    <t>Dương Hồng Ngọc</t>
  </si>
  <si>
    <t>Hà Mạnh Tân</t>
  </si>
  <si>
    <t>Hoàng Tuấn Anh</t>
  </si>
  <si>
    <t>Nguyễn Hoàng Tuấn Anh</t>
  </si>
  <si>
    <t>Nguyễn Lưu Phất</t>
  </si>
  <si>
    <t>Nguyễn Mạnh Thắng</t>
  </si>
  <si>
    <t>Nguyễn Thanh Mai</t>
  </si>
  <si>
    <t>Trần Huyền Trang</t>
  </si>
  <si>
    <t>Trần Thị Thanh Huyền</t>
  </si>
  <si>
    <t>P.Phát triển phần mềm</t>
  </si>
  <si>
    <t>Bùi Hữu Lâm</t>
  </si>
  <si>
    <t>Nghiêm Thanh Tùng</t>
  </si>
  <si>
    <t>Nguyễn Anh Đức</t>
  </si>
  <si>
    <t>Nguyễn Khắc Mạnh</t>
  </si>
  <si>
    <t>Nguyễn Văn Diên</t>
  </si>
  <si>
    <t>Phí Quang Vinh</t>
  </si>
  <si>
    <t>Vương Duy Long</t>
  </si>
  <si>
    <t>(blank)</t>
  </si>
  <si>
    <t>ID nhân viên</t>
  </si>
  <si>
    <t>Mã dự án</t>
  </si>
  <si>
    <t>PM</t>
  </si>
  <si>
    <t>Lọc trùng</t>
  </si>
  <si>
    <t>tamtn</t>
  </si>
  <si>
    <t>B_MB_ARCHIVE</t>
  </si>
  <si>
    <t>ngocdh</t>
  </si>
  <si>
    <t>longlm</t>
  </si>
  <si>
    <t>conglc</t>
  </si>
  <si>
    <t>thangnm</t>
  </si>
  <si>
    <t>B_VNA_RPS</t>
  </si>
  <si>
    <t>lamnv</t>
  </si>
  <si>
    <t>anhnht</t>
  </si>
  <si>
    <t>BD_ID0_01_00</t>
  </si>
  <si>
    <t>anhht</t>
  </si>
  <si>
    <t>nhungnt2</t>
  </si>
  <si>
    <t>BD_GE0_01_00</t>
  </si>
  <si>
    <t>minhdd</t>
  </si>
  <si>
    <t>maint</t>
  </si>
  <si>
    <t>hieudt</t>
  </si>
  <si>
    <t>hieunm</t>
  </si>
  <si>
    <t>tanhm</t>
  </si>
  <si>
    <t>BD_EN4_01_00</t>
  </si>
  <si>
    <t>phatnl</t>
  </si>
  <si>
    <t>huyenttt</t>
  </si>
  <si>
    <t>BD_EN1_01_00</t>
  </si>
  <si>
    <t>trangth</t>
  </si>
  <si>
    <t>B_MB_AUTOMATION_QA_CNTT</t>
  </si>
  <si>
    <t>phucld</t>
  </si>
  <si>
    <t>=A42&amp;E42</t>
  </si>
  <si>
    <t>B_MB_QLDT</t>
  </si>
  <si>
    <t>BD_TH0_01_00</t>
  </si>
  <si>
    <t xml:space="preserve">BD_BT0_01_00 </t>
  </si>
  <si>
    <t>BB_VR1_02_00</t>
  </si>
  <si>
    <t>tungnt2</t>
  </si>
  <si>
    <t>B_TDA_GD2</t>
  </si>
  <si>
    <t>diennv</t>
  </si>
  <si>
    <t>manhnk</t>
  </si>
  <si>
    <t>lambh</t>
  </si>
  <si>
    <t>CD_MB0_01_00</t>
  </si>
  <si>
    <t>Đang thực hiện (Chưa có hợp đồng)</t>
  </si>
  <si>
    <t>BD_TC0_01_00</t>
  </si>
  <si>
    <t>RD_OR0_01_00</t>
  </si>
  <si>
    <t>Presale</t>
  </si>
  <si>
    <t>vinhpq</t>
  </si>
  <si>
    <t>RD_TH0_01_00</t>
  </si>
  <si>
    <t>longvd</t>
  </si>
  <si>
    <t>BD_BW0_01_00</t>
  </si>
  <si>
    <t>giangntt</t>
  </si>
  <si>
    <t>ducna</t>
  </si>
  <si>
    <t>NB_CHAMCONG</t>
  </si>
  <si>
    <t>BD_SU0_01_00</t>
  </si>
  <si>
    <t>VAECO</t>
  </si>
  <si>
    <t>NB_NDI</t>
  </si>
  <si>
    <t>BD_VR1_01_00</t>
  </si>
  <si>
    <t>B_CFC_AUTOMATION_XH</t>
  </si>
  <si>
    <t>BD_EN5_01_00</t>
  </si>
  <si>
    <t>QL</t>
  </si>
  <si>
    <t>B_TDA</t>
  </si>
  <si>
    <t>RD_MF6_01_00</t>
  </si>
  <si>
    <t>RB_VC2_02_00</t>
  </si>
  <si>
    <t>RB_VC1_02_00</t>
  </si>
  <si>
    <t>RB_VC9_02_00</t>
  </si>
  <si>
    <t>B_CFC_Websales</t>
  </si>
  <si>
    <t>B_TTG_Websales</t>
  </si>
  <si>
    <t>B_Can_Oristar</t>
  </si>
  <si>
    <t>B_XHTD_HP</t>
  </si>
  <si>
    <t>NB_AI_Onprem</t>
  </si>
  <si>
    <t>CÔNG THỨC CHỈ ÁP DỤNG ĐẾN ĐÂY, nếu cần bổ sung thêm dòng vui lòng Copy và Insert phía trên</t>
  </si>
  <si>
    <t>STT</t>
  </si>
  <si>
    <t>ID</t>
  </si>
  <si>
    <t>Phòng Ban TT</t>
  </si>
  <si>
    <t>Nguồn lực</t>
  </si>
  <si>
    <t>Senior</t>
  </si>
  <si>
    <t>Chính thức</t>
  </si>
  <si>
    <t>Assesed</t>
  </si>
  <si>
    <t>Experienced</t>
  </si>
  <si>
    <t>Học việc</t>
  </si>
  <si>
    <t>Thử việc</t>
  </si>
  <si>
    <t>Mã DA</t>
  </si>
  <si>
    <t>Tên DA</t>
  </si>
  <si>
    <t>Mô tả DA</t>
  </si>
  <si>
    <t>Loại Dự án</t>
  </si>
  <si>
    <t>B_BAOTINMANHHAI</t>
  </si>
  <si>
    <t>Triển khai Kho dữ liệu và Business Intelligence cho Bảo Tín Mạnh Hải</t>
  </si>
  <si>
    <t>AnhHT</t>
  </si>
  <si>
    <t>Đóng</t>
  </si>
  <si>
    <t>BI DATA INDEVCO</t>
  </si>
  <si>
    <t>Triển khai và thiết kế hệ thống chuẩn hóa Master Data cho INDEVCO</t>
  </si>
  <si>
    <t>Đang thực hiện (Đã có hợp đồng)</t>
  </si>
  <si>
    <t>BI QLNL THADICO</t>
  </si>
  <si>
    <t>Phần mềm QL nguồn lực Thadico - Hạng mục công việc của TT IBS</t>
  </si>
  <si>
    <t>BD_TH0_02_00</t>
  </si>
  <si>
    <t>BI DWH THADICO</t>
  </si>
  <si>
    <t>Triển khai phần mềm Kho dữ liệu tập trung và phát triển các báo cáo quản trị chi phí giá thành các sản phẩm, dịch vụ cho THADICO</t>
  </si>
  <si>
    <t>Tạm dừng</t>
  </si>
  <si>
    <t>TK BI DWH BW SAO HOA</t>
  </si>
  <si>
    <t>Triển khai Kho dữ liệu tập trung và tự động hóa file Model</t>
  </si>
  <si>
    <t>BT BI DWH VCR NAM 2</t>
  </si>
  <si>
    <t>Bảo trì VCR 2</t>
  </si>
  <si>
    <t>Bảo hành, Bảo trì</t>
  </si>
  <si>
    <t>BI TK POWER BI BTMHH</t>
  </si>
  <si>
    <t xml:space="preserve">Triển khai chuyển đổi số dashboard từ Tableau sang POWER BI cho phòng Cung ứng Bảo Tín Mạnh Hải
</t>
  </si>
  <si>
    <t>TK hệ thống phân tích hiệu quả đường bay (RPS) cho VNA</t>
  </si>
  <si>
    <t>AnhNHT</t>
  </si>
  <si>
    <t>BI GENCO1 2025</t>
  </si>
  <si>
    <t>Triển khai BI hệ thống hỗ trợ ra quyết định cho GENCO1</t>
  </si>
  <si>
    <t>BD_EN2_01_00</t>
  </si>
  <si>
    <t>BI EVNICT CMIS</t>
  </si>
  <si>
    <t>Thuê ngoài lập trình hàm và báo cáo CMIS cho EVN Chi nhánh tập đoàn điện lực Việt Nam</t>
  </si>
  <si>
    <t>BI DWH GELEXIMCO</t>
  </si>
  <si>
    <t>Triển khai Kho dữ liệu và Business Intelligence cho Geleximco</t>
  </si>
  <si>
    <t>BI EVN HCM GD2</t>
  </si>
  <si>
    <t>Cơ hội</t>
  </si>
  <si>
    <t>POC_VIETTIN</t>
  </si>
  <si>
    <t>BI EVN SPC</t>
  </si>
  <si>
    <t>BI MB QA</t>
  </si>
  <si>
    <t>Xây dựng hệ thống báo cáo Automation QA cho khối CNTT của MB</t>
  </si>
  <si>
    <t>CongLC</t>
  </si>
  <si>
    <t>BI MB QLĐT</t>
  </si>
  <si>
    <t>Xây dựng hệ thống báo cáo QLĐT cho khối CNTT của MB</t>
  </si>
  <si>
    <t>MDM &amp; DWH-BI THACO</t>
  </si>
  <si>
    <t>Xây dựng hệ thống quản lý Master Data, Kho dữ liệu và Báo cáo BI cho THACO</t>
  </si>
  <si>
    <t>HaiDL</t>
  </si>
  <si>
    <t>TK PM QLNL NB</t>
  </si>
  <si>
    <t>Triển khai phần mềm chấm công Quản lý nguồn lực nội bộ của iERP</t>
  </si>
  <si>
    <t>LamBH</t>
  </si>
  <si>
    <t>Đang thực hiện (Nội bộ)</t>
  </si>
  <si>
    <t>PM CAN ORISTAR</t>
  </si>
  <si>
    <t>Triển khai phần mềm cân cho Oristar phần việc của Trung tâm NCPT</t>
  </si>
  <si>
    <t>R&amp;D QLNL THADICO</t>
  </si>
  <si>
    <t>Triển khai phần mềm hệ thống Quản lý nguồn lực cho Thadico phần việc của Trung tâm NCPT</t>
  </si>
  <si>
    <t>NgocDH</t>
  </si>
  <si>
    <t>HTNC</t>
  </si>
  <si>
    <t>Học tập nghiên cứu</t>
  </si>
  <si>
    <t>HDC</t>
  </si>
  <si>
    <t>Hoạt động chung</t>
  </si>
  <si>
    <t>R</t>
  </si>
  <si>
    <t>Nghỉ hưởng lương</t>
  </si>
  <si>
    <t>QL trung tâm</t>
  </si>
  <si>
    <t>MB AUTO QA GD2</t>
  </si>
  <si>
    <t>Xây dựng hệ thống báo cáo Automation QA cho khối CNTT của MB giai đoạn 2</t>
  </si>
  <si>
    <t>TU VAN SUITE CLOUD</t>
  </si>
  <si>
    <t>Tư vấn lĩnh vực thiết kế dữ liệu và kiến trúc Kho dữ liệu (Data Warehouse) phục vụ hệ thống Oracle NetSuite ERP, Oracle Netsuite Analytic Warehouse và các hệ thống liên quan cho Suite Cloud</t>
  </si>
  <si>
    <t>Vận hành công ty NDI</t>
  </si>
  <si>
    <t>DG2 TĐA</t>
  </si>
  <si>
    <t>Giai đoạn 2 Chiết khấu bán hàng Tôn Đông Á</t>
  </si>
  <si>
    <t>Tư vấn Datalake, DWH</t>
  </si>
  <si>
    <t>Nâng cấp Ước KQKD</t>
  </si>
  <si>
    <t>Nâng cấp Ước KQKD cho TTTM</t>
  </si>
  <si>
    <t>Xuất hàng không dừng</t>
  </si>
  <si>
    <t>Xây dựng hệ thống xuất hàng không dừng cho Xi măng Chinfon</t>
  </si>
  <si>
    <t>Hỗ trợ và bảo trì Websales 2026 cho xi măng Hạ Long Hiệp Phước</t>
  </si>
  <si>
    <t>Bảo trì Websales của Xi măng Hạ Long 2026</t>
  </si>
  <si>
    <t>Bảo trì Websales của Xi măng Hải Phòng, Bỉm Sơn, Sông Thao, Hoàng Mai</t>
  </si>
  <si>
    <t>RB_VC10_01_00</t>
  </si>
  <si>
    <t>Bảo trì Websales của Xi măng Bút Sơn</t>
  </si>
  <si>
    <t>Bảo trì Websales của Xi măng Hà Tiên</t>
  </si>
  <si>
    <t>Hỗ trợ vận hành 1 năm sau hoàn thành của Hệ thống đặt hàng Chinfon</t>
  </si>
  <si>
    <t>Hỗ trợ vận hành 1 năm sau hoàn thành của Hệ thống đặt hàng Thành Thắng</t>
  </si>
  <si>
    <t>Bảo trì Chiết khấu bán hàng của Tôn Đông Á</t>
  </si>
  <si>
    <t>Hỗ trợ vận hành 1 năm sau hoàn thành của Hệ thống cân Oristar</t>
  </si>
  <si>
    <t>Bảo trì Xuất hàng tự động Hải Phòng</t>
  </si>
  <si>
    <t>NB AI ONPREM</t>
  </si>
  <si>
    <t>Xây dựng thử nghiệm hệ thống Data-AI Onprem</t>
  </si>
  <si>
    <t>Trạng thái</t>
  </si>
  <si>
    <t>Định nghĩa</t>
  </si>
  <si>
    <t>Đã nghỉ việc</t>
  </si>
  <si>
    <t>Đã hoàn tất nghiệm thu/Có hợp đồng bảo trì</t>
  </si>
  <si>
    <t>Trung tâm</t>
  </si>
  <si>
    <t>Họ và tên</t>
  </si>
  <si>
    <t>Level</t>
  </si>
  <si>
    <t>Năm</t>
  </si>
  <si>
    <t>Bình quân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</si>
</sst>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0"/>
      <color indexed="8"/>
      <name val="Helvetica Neue"/>
      <family val="2"/>
    </font>
    <font>
      <b/>
      <sz val="10"/>
      <color indexed="8"/>
      <name val="Helvetica Neue"/>
      <family val="2"/>
    </font>
    <font>
      <b/>
      <sz val="10"/>
      <color theme="1"/>
      <name val="Calibri"/>
      <family val="2"/>
      <scheme val="minor"/>
    </font>
    <font>
      <b/>
      <sz val="12"/>
      <color theme="1"/>
      <name val="Calibri"/>
      <family val="2"/>
      <scheme val="minor"/>
    </font>
    <font>
      <sz val="10"/>
      <color theme="1"/>
      <name val="Arial"/>
      <family val="2"/>
    </font>
    <font>
      <b/>
      <sz val="11"/>
      <color theme="1"/>
      <name val="Calibri"/>
      <family val="2"/>
      <charset val="163"/>
      <scheme val="minor"/>
    </font>
    <font>
      <sz val="11"/>
      <color indexed="8"/>
      <name val="Calibri"/>
      <family val="2"/>
      <charset val="163"/>
      <scheme val="minor"/>
    </font>
    <font>
      <sz val="11"/>
      <color theme="1"/>
      <name val="Calibri"/>
      <family val="2"/>
      <charset val="163"/>
      <scheme val="minor"/>
    </font>
    <font>
      <sz val="11"/>
      <color theme="0"/>
      <name val="Calibri"/>
      <family val="2"/>
      <charset val="163"/>
      <scheme val="minor"/>
    </font>
    <font>
      <sz val="12"/>
      <color theme="1"/>
      <name val="Calibri"/>
      <family val="2"/>
      <scheme val="minor"/>
    </font>
    <font>
      <sz val="12"/>
      <color rgb="FF000000"/>
      <name val="Calibri"/>
      <family val="2"/>
      <scheme val="minor"/>
    </font>
    <font>
      <sz val="10"/>
      <color indexed="8"/>
      <name val="Helvetica Neue"/>
    </font>
    <font>
      <sz val="11"/>
      <color rgb="FF000000"/>
      <name val="Calibri"/>
      <family val="2"/>
      <charset val="163"/>
      <scheme val="minor"/>
    </font>
    <font>
      <sz val="11"/>
      <color rgb="FF242424"/>
      <name val="Aptos Narrow"/>
      <charset val="1"/>
    </font>
  </fonts>
  <fills count="8">
    <fill>
      <patternFill patternType="none"/>
    </fill>
    <fill>
      <patternFill patternType="gray125"/>
    </fill>
    <fill>
      <patternFill patternType="solid">
        <fgColor indexed="9"/>
        <bgColor auto="1"/>
      </patternFill>
    </fill>
    <fill>
      <patternFill patternType="solid">
        <fgColor theme="4" tint="0.7999816888943144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3">
    <xf numFmtId="0" fontId="0" fillId="0" borderId="0"/>
    <xf numFmtId="0" fontId="1" fillId="0" borderId="0" applyNumberFormat="0" applyFill="0" applyBorder="0" applyProtection="0">
      <alignment vertical="top" wrapText="1"/>
    </xf>
    <xf numFmtId="9" fontId="10" fillId="0" borderId="0" applyFont="0" applyFill="0" applyBorder="0" applyAlignment="0" applyProtection="0"/>
  </cellStyleXfs>
  <cellXfs count="82">
    <xf numFmtId="0" fontId="0" fillId="0" borderId="0" xfId="0"/>
    <xf numFmtId="0" fontId="0" fillId="0" borderId="0" xfId="0" applyAlignment="1">
      <alignment horizontal="center" wrapText="1"/>
    </xf>
    <xf numFmtId="0" fontId="0" fillId="4" borderId="0" xfId="0" applyFill="1" applyAlignment="1">
      <alignment horizontal="center" wrapText="1"/>
    </xf>
    <xf numFmtId="0" fontId="0" fillId="0" borderId="0" xfId="0" pivotButton="1"/>
    <xf numFmtId="0" fontId="4" fillId="0" borderId="0" xfId="0" applyFont="1" applyAlignment="1">
      <alignment horizontal="center" vertical="center"/>
    </xf>
    <xf numFmtId="0" fontId="4" fillId="0" borderId="2" xfId="0" applyFont="1" applyBorder="1" applyAlignment="1">
      <alignment horizontal="center" vertical="center"/>
    </xf>
    <xf numFmtId="9" fontId="0" fillId="0" borderId="2" xfId="0" applyNumberFormat="1" applyBorder="1" applyAlignment="1">
      <alignment horizontal="center" vertical="center"/>
    </xf>
    <xf numFmtId="0" fontId="0" fillId="0" borderId="2" xfId="0" applyBorder="1"/>
    <xf numFmtId="9" fontId="0" fillId="0" borderId="2" xfId="0" applyNumberFormat="1" applyBorder="1"/>
    <xf numFmtId="9" fontId="0" fillId="0" borderId="0" xfId="0" applyNumberFormat="1"/>
    <xf numFmtId="0" fontId="8" fillId="3" borderId="1" xfId="0" applyFont="1" applyFill="1" applyBorder="1" applyAlignment="1">
      <alignment horizontal="center" wrapText="1"/>
    </xf>
    <xf numFmtId="0" fontId="8" fillId="3" borderId="3" xfId="0" applyFont="1" applyFill="1" applyBorder="1" applyAlignment="1">
      <alignment horizontal="center" wrapText="1"/>
    </xf>
    <xf numFmtId="0" fontId="8" fillId="3" borderId="1" xfId="0" applyFont="1" applyFill="1" applyBorder="1" applyAlignment="1">
      <alignment horizontal="center"/>
    </xf>
    <xf numFmtId="0" fontId="8" fillId="0" borderId="1" xfId="0" applyFont="1" applyBorder="1" applyAlignment="1">
      <alignment horizontal="center" wrapText="1"/>
    </xf>
    <xf numFmtId="49" fontId="7" fillId="0" borderId="1" xfId="1" applyNumberFormat="1" applyFont="1" applyBorder="1" applyAlignment="1">
      <alignment horizontal="center" wrapText="1"/>
    </xf>
    <xf numFmtId="0" fontId="9" fillId="4" borderId="1" xfId="0" applyFont="1" applyFill="1" applyBorder="1" applyAlignment="1">
      <alignment horizontal="left"/>
    </xf>
    <xf numFmtId="0" fontId="8" fillId="4" borderId="1" xfId="0" applyFont="1" applyFill="1" applyBorder="1" applyAlignment="1">
      <alignment horizontal="center" wrapText="1"/>
    </xf>
    <xf numFmtId="0" fontId="8" fillId="4" borderId="1" xfId="0" applyFont="1" applyFill="1" applyBorder="1" applyAlignment="1">
      <alignment horizontal="center"/>
    </xf>
    <xf numFmtId="0" fontId="8" fillId="6" borderId="1" xfId="0" applyFont="1" applyFill="1" applyBorder="1" applyAlignment="1">
      <alignment horizontal="center" wrapText="1"/>
    </xf>
    <xf numFmtId="0" fontId="8" fillId="5" borderId="1" xfId="0" applyFont="1" applyFill="1" applyBorder="1" applyAlignment="1">
      <alignment horizontal="center" wrapText="1"/>
    </xf>
    <xf numFmtId="0" fontId="6" fillId="0" borderId="1" xfId="0" applyFont="1" applyBorder="1" applyAlignment="1">
      <alignment horizontal="center" wrapText="1"/>
    </xf>
    <xf numFmtId="0" fontId="6" fillId="3" borderId="1" xfId="0" applyFont="1" applyFill="1" applyBorder="1" applyAlignment="1">
      <alignment horizontal="center" wrapText="1"/>
    </xf>
    <xf numFmtId="14" fontId="6" fillId="5" borderId="1" xfId="0" applyNumberFormat="1" applyFont="1" applyFill="1" applyBorder="1" applyAlignment="1">
      <alignment horizontal="center" wrapText="1"/>
    </xf>
    <xf numFmtId="0" fontId="3" fillId="0" borderId="0" xfId="0" applyFont="1" applyAlignment="1">
      <alignment horizontal="center" wrapText="1"/>
    </xf>
    <xf numFmtId="49" fontId="7" fillId="0" borderId="1" xfId="1" applyNumberFormat="1" applyFont="1" applyBorder="1" applyAlignment="1">
      <alignment horizontal="center"/>
    </xf>
    <xf numFmtId="9" fontId="8" fillId="5" borderId="1" xfId="2" applyFont="1" applyFill="1" applyBorder="1" applyAlignment="1">
      <alignment horizontal="center" wrapText="1"/>
    </xf>
    <xf numFmtId="0" fontId="0" fillId="0" borderId="0" xfId="0" applyAlignment="1">
      <alignment wrapText="1"/>
    </xf>
    <xf numFmtId="49" fontId="7" fillId="0" borderId="1" xfId="1" applyNumberFormat="1" applyFont="1" applyBorder="1" applyAlignment="1">
      <alignment horizontal="center" vertical="center"/>
    </xf>
    <xf numFmtId="49" fontId="8" fillId="3" borderId="1" xfId="0" applyNumberFormat="1" applyFont="1" applyFill="1" applyBorder="1" applyAlignment="1">
      <alignment horizontal="center" wrapText="1"/>
    </xf>
    <xf numFmtId="0" fontId="2" fillId="0" borderId="0" xfId="1" applyNumberFormat="1" applyFont="1" applyBorder="1" applyAlignment="1">
      <alignment vertical="center"/>
    </xf>
    <xf numFmtId="49" fontId="2" fillId="0" borderId="0" xfId="1" applyNumberFormat="1" applyFont="1" applyFill="1" applyBorder="1" applyAlignment="1">
      <alignment horizontal="center" vertical="center"/>
    </xf>
    <xf numFmtId="49" fontId="2" fillId="0" borderId="0" xfId="1" applyNumberFormat="1" applyFont="1" applyFill="1" applyBorder="1" applyAlignment="1">
      <alignment horizontal="center" vertical="center" wrapText="1"/>
    </xf>
    <xf numFmtId="0" fontId="1" fillId="0" borderId="0" xfId="1" applyNumberFormat="1" applyBorder="1" applyAlignment="1">
      <alignment vertical="center"/>
    </xf>
    <xf numFmtId="49" fontId="1" fillId="0" borderId="2" xfId="1" applyNumberFormat="1" applyFill="1" applyBorder="1" applyAlignment="1">
      <alignment vertical="center"/>
    </xf>
    <xf numFmtId="49" fontId="1" fillId="0" borderId="2" xfId="1" applyNumberFormat="1" applyFill="1" applyBorder="1" applyAlignment="1">
      <alignment vertical="center" wrapText="1"/>
    </xf>
    <xf numFmtId="0" fontId="0" fillId="0" borderId="2" xfId="0" applyBorder="1" applyAlignment="1">
      <alignment vertical="center"/>
    </xf>
    <xf numFmtId="0" fontId="11" fillId="0" borderId="2" xfId="0" applyFont="1" applyBorder="1" applyAlignment="1">
      <alignment vertical="center"/>
    </xf>
    <xf numFmtId="49" fontId="1" fillId="0" borderId="0" xfId="1" applyNumberFormat="1" applyFill="1" applyBorder="1" applyAlignment="1">
      <alignment vertical="center"/>
    </xf>
    <xf numFmtId="49" fontId="1" fillId="0" borderId="0" xfId="1" applyNumberFormat="1" applyFill="1" applyBorder="1" applyAlignment="1">
      <alignment vertical="center" wrapText="1"/>
    </xf>
    <xf numFmtId="0" fontId="1" fillId="0" borderId="0" xfId="1" applyNumberFormat="1" applyFill="1" applyBorder="1" applyAlignment="1">
      <alignment vertical="center"/>
    </xf>
    <xf numFmtId="0" fontId="1" fillId="0" borderId="0" xfId="1" applyNumberFormat="1" applyFill="1" applyBorder="1" applyAlignment="1">
      <alignment vertical="center" wrapText="1"/>
    </xf>
    <xf numFmtId="0" fontId="1" fillId="7" borderId="0" xfId="1" applyNumberFormat="1" applyFill="1" applyBorder="1" applyAlignment="1">
      <alignment vertical="center"/>
    </xf>
    <xf numFmtId="0" fontId="5" fillId="7" borderId="0" xfId="0" applyFont="1" applyFill="1" applyAlignment="1">
      <alignment vertical="center" readingOrder="1"/>
    </xf>
    <xf numFmtId="0" fontId="5" fillId="7" borderId="0" xfId="0" applyFont="1" applyFill="1" applyAlignment="1">
      <alignment vertical="center" wrapText="1" readingOrder="1"/>
    </xf>
    <xf numFmtId="49" fontId="1" fillId="7" borderId="0" xfId="1" applyNumberFormat="1" applyFill="1" applyBorder="1" applyAlignment="1">
      <alignment vertical="center"/>
    </xf>
    <xf numFmtId="49" fontId="2" fillId="2" borderId="2" xfId="1" applyNumberFormat="1" applyFont="1" applyFill="1" applyBorder="1" applyAlignment="1">
      <alignment horizontal="center" vertical="center"/>
    </xf>
    <xf numFmtId="0" fontId="1" fillId="0" borderId="0" xfId="1" applyNumberFormat="1" applyBorder="1" applyAlignment="1">
      <alignment horizontal="center" vertical="center"/>
    </xf>
    <xf numFmtId="0" fontId="1" fillId="0" borderId="2" xfId="1" applyNumberFormat="1" applyBorder="1" applyAlignment="1">
      <alignment vertical="center"/>
    </xf>
    <xf numFmtId="49" fontId="1" fillId="0" borderId="2" xfId="1" applyNumberFormat="1" applyBorder="1" applyAlignment="1">
      <alignment vertical="center"/>
    </xf>
    <xf numFmtId="49" fontId="1" fillId="0" borderId="0" xfId="1" applyNumberFormat="1" applyBorder="1" applyAlignment="1">
      <alignment vertical="center"/>
    </xf>
    <xf numFmtId="0" fontId="0" fillId="0" borderId="0" xfId="0" applyAlignment="1">
      <alignment vertical="center"/>
    </xf>
    <xf numFmtId="49" fontId="7" fillId="0" borderId="2" xfId="1" applyNumberFormat="1" applyFont="1" applyFill="1" applyBorder="1" applyAlignment="1"/>
    <xf numFmtId="49" fontId="7" fillId="0" borderId="0" xfId="1" applyNumberFormat="1" applyFont="1" applyFill="1" applyBorder="1" applyAlignment="1"/>
    <xf numFmtId="49" fontId="12" fillId="0" borderId="2" xfId="1" applyNumberFormat="1" applyFont="1" applyBorder="1" applyAlignment="1">
      <alignment vertical="center"/>
    </xf>
    <xf numFmtId="49" fontId="12" fillId="0" borderId="2" xfId="1" applyNumberFormat="1" applyFont="1" applyBorder="1" applyAlignment="1">
      <alignment vertical="center" wrapText="1"/>
    </xf>
    <xf numFmtId="0" fontId="13" fillId="3" borderId="1" xfId="0" applyFont="1" applyFill="1" applyBorder="1" applyAlignment="1">
      <alignment horizontal="center" wrapText="1"/>
    </xf>
    <xf numFmtId="0" fontId="13" fillId="3" borderId="3" xfId="0" applyFont="1" applyFill="1" applyBorder="1" applyAlignment="1">
      <alignment horizontal="center" wrapText="1"/>
    </xf>
    <xf numFmtId="0" fontId="8" fillId="3" borderId="5" xfId="0" applyFont="1" applyFill="1" applyBorder="1" applyAlignment="1">
      <alignment horizontal="center" wrapText="1"/>
    </xf>
    <xf numFmtId="0" fontId="8" fillId="3" borderId="3" xfId="0" applyFont="1" applyFill="1" applyBorder="1" applyAlignment="1">
      <alignment horizontal="center"/>
    </xf>
    <xf numFmtId="0" fontId="8" fillId="0" borderId="1" xfId="0" applyFont="1" applyBorder="1" applyAlignment="1">
      <alignment horizontal="left" vertical="center" wrapText="1"/>
    </xf>
    <xf numFmtId="0" fontId="8" fillId="4" borderId="3" xfId="0" applyFont="1" applyFill="1" applyBorder="1" applyAlignment="1">
      <alignment horizontal="center" wrapText="1"/>
    </xf>
    <xf numFmtId="0" fontId="8" fillId="3" borderId="4" xfId="0" applyFont="1" applyFill="1" applyBorder="1" applyAlignment="1">
      <alignment horizontal="center" wrapText="1"/>
    </xf>
    <xf numFmtId="49" fontId="7" fillId="0" borderId="1" xfId="1" applyNumberFormat="1" applyFont="1" applyFill="1" applyBorder="1" applyAlignment="1"/>
    <xf numFmtId="49" fontId="12" fillId="0" borderId="3" xfId="1" applyNumberFormat="1" applyFont="1" applyBorder="1" applyAlignment="1">
      <alignment vertical="center"/>
    </xf>
    <xf numFmtId="49" fontId="7" fillId="0" borderId="1" xfId="1" applyNumberFormat="1" applyFont="1" applyBorder="1" applyAlignment="1"/>
    <xf numFmtId="0" fontId="8" fillId="0" borderId="1" xfId="0" applyFont="1" applyBorder="1" applyAlignment="1">
      <alignment vertical="center" wrapText="1"/>
    </xf>
    <xf numFmtId="49" fontId="12" fillId="0" borderId="1" xfId="1" applyNumberFormat="1" applyFont="1" applyBorder="1" applyAlignment="1">
      <alignment vertical="center"/>
    </xf>
    <xf numFmtId="0" fontId="8" fillId="0" borderId="1" xfId="0" applyFont="1" applyBorder="1"/>
    <xf numFmtId="49" fontId="1" fillId="0" borderId="1" xfId="1" applyNumberFormat="1" applyFill="1" applyBorder="1" applyAlignment="1">
      <alignment vertical="center"/>
    </xf>
    <xf numFmtId="0" fontId="14" fillId="0" borderId="1" xfId="0" applyFont="1" applyBorder="1"/>
    <xf numFmtId="49" fontId="1" fillId="0" borderId="1" xfId="1" applyNumberFormat="1" applyFill="1" applyBorder="1" applyAlignment="1">
      <alignment vertical="center" wrapText="1"/>
    </xf>
    <xf numFmtId="49" fontId="7" fillId="0" borderId="6" xfId="1" applyNumberFormat="1" applyFont="1" applyFill="1" applyBorder="1" applyAlignment="1"/>
    <xf numFmtId="0" fontId="0" fillId="0" borderId="1" xfId="0" applyBorder="1"/>
    <xf numFmtId="0" fontId="11" fillId="0" borderId="2" xfId="0" applyFont="1" applyBorder="1"/>
    <xf numFmtId="0" fontId="1" fillId="0" borderId="7" xfId="1" applyNumberFormat="1" applyBorder="1" applyAlignment="1">
      <alignment vertical="center"/>
    </xf>
    <xf numFmtId="49" fontId="12" fillId="0" borderId="7" xfId="1" applyNumberFormat="1" applyFont="1" applyBorder="1" applyAlignment="1">
      <alignment vertical="center"/>
    </xf>
    <xf numFmtId="49" fontId="12" fillId="0" borderId="7" xfId="1" applyNumberFormat="1" applyFont="1" applyBorder="1" applyAlignment="1">
      <alignment vertical="center" wrapText="1"/>
    </xf>
    <xf numFmtId="0" fontId="1" fillId="0" borderId="2" xfId="1" applyFill="1" applyBorder="1" applyAlignment="1">
      <alignment vertical="center" wrapText="1"/>
    </xf>
    <xf numFmtId="49" fontId="1" fillId="0" borderId="7" xfId="1" applyNumberFormat="1" applyFill="1" applyBorder="1" applyAlignment="1">
      <alignment vertical="center"/>
    </xf>
    <xf numFmtId="49" fontId="1" fillId="0" borderId="7" xfId="1" applyNumberFormat="1" applyFill="1" applyBorder="1" applyAlignment="1">
      <alignment vertical="center" wrapText="1"/>
    </xf>
    <xf numFmtId="49" fontId="1" fillId="7" borderId="2" xfId="1" applyNumberFormat="1" applyFill="1" applyBorder="1" applyAlignment="1">
      <alignment vertical="center"/>
    </xf>
    <xf numFmtId="49" fontId="1" fillId="7" borderId="7" xfId="1" applyNumberFormat="1" applyFill="1" applyBorder="1" applyAlignment="1">
      <alignment vertical="center"/>
    </xf>
  </cellXfs>
  <cellStyles count="3">
    <cellStyle name="Normal" xfId="0" builtinId="0"/>
    <cellStyle name="Normal 2" xfId="1" xr:uid="{00000000-0005-0000-0000-000001000000}"/>
    <cellStyle name="Percent" xfId="2" builtinId="5"/>
  </cellStyles>
  <dxfs count="9">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rgb="FF9C0006"/>
      </font>
      <fill>
        <patternFill>
          <bgColor rgb="FFFFC7CE"/>
        </patternFill>
      </fill>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4.597846759258" createdVersion="8" refreshedVersion="8" minRefreshableVersion="3" recordCount="128" xr:uid="{D28A1E8B-92C1-4EA7-BF26-1DC666B0C54E}">
  <cacheSource type="worksheet">
    <worksheetSource ref="A1:BI1048576" sheet="Resource Plan"/>
  </cacheSource>
  <cacheFields count="61">
    <cacheField name="ID nhân viên" numFmtId="0">
      <sharedItems containsBlank="1"/>
    </cacheField>
    <cacheField name="Họ và Tên" numFmtId="0">
      <sharedItems containsBlank="1" count="28">
        <s v="Trịnh Ngọc Tâm"/>
        <s v="Dương Hồng Ngọc"/>
        <s v="Lê Minh Long"/>
        <s v="Lê Chí Công"/>
        <s v="Nguyễn Mạnh Thắng"/>
        <s v="Nguyễn Việt Lâm"/>
        <s v="Nguyễn Hoàng Tuấn Anh"/>
        <s v="Hoàng Tuấn Anh"/>
        <s v="Ngô Thị Nhung"/>
        <s v="Đinh Đức Minh"/>
        <s v="Nguyễn Thanh Mai"/>
        <s v="Đỗ Trung Hiếu"/>
        <s v="Nguyễn Minh Hiếu"/>
        <s v="Hà Mạnh Tân"/>
        <s v="Nguyễn Lưu Phất"/>
        <s v="Trần Thị Thanh Huyền"/>
        <s v="Trần Huyền Trang"/>
        <s v="Lê Đình Phúc"/>
        <s v="Nghiêm Thanh Tùng"/>
        <s v="Nguyễn Văn Diên"/>
        <s v="Nguyễn Khắc Mạnh"/>
        <s v="Bùi Hữu Lâm"/>
        <s v="Phí Quang Vinh"/>
        <s v="Vương Duy Long"/>
        <s v="Nguyễn Thị Trà Giang"/>
        <s v="Nguyễn Anh Đức"/>
        <m/>
        <s v="" u="1"/>
      </sharedItems>
    </cacheField>
    <cacheField name="Phòng" numFmtId="0">
      <sharedItems containsBlank="1" count="5">
        <s v="P.Kỹ thuật IBS"/>
        <s v="P.Nghiệp vụ IBS"/>
        <s v="P.Phát triển phần mềm"/>
        <m/>
        <s v="" u="1"/>
      </sharedItems>
    </cacheField>
    <cacheField name="Trạng thái nhân viên" numFmtId="0">
      <sharedItems containsBlank="1" count="5">
        <s v="Chính thức"/>
        <s v="Thử việc"/>
        <s v="Học việc"/>
        <m/>
        <s v="" u="1"/>
      </sharedItems>
    </cacheField>
    <cacheField name="Mã dự án" numFmtId="0">
      <sharedItems containsBlank="1"/>
    </cacheField>
    <cacheField name="Tên dự án" numFmtId="0">
      <sharedItems containsBlank="1" count="42">
        <s v="B_MB_ARCHIVE"/>
        <s v="B_VNA_RPS"/>
        <s v="BI DATA INDEVCO"/>
        <s v="BI DWH GELEXIMCO"/>
        <s v="BI EVN HCM GD2"/>
        <s v="BI GENCO1 2025"/>
        <s v="BI MB QA"/>
        <s v="BI MB QLĐT"/>
        <s v="BI QLNL THADICO"/>
        <s v="BI TK POWER BI BTMHH"/>
        <s v="BT BI DWH VCR NAM 2"/>
        <s v="DG2 TĐA"/>
        <s v="MB AUTO QA GD2"/>
        <s v="MDM &amp; DWH-BI THACO"/>
        <s v="PM CAN ORISTAR"/>
        <s v="Presale"/>
        <s v="R&amp;D QLNL THADICO"/>
        <s v="TK BI DWH BW SAO HOA"/>
        <s v="TK PM QLNL NB"/>
        <s v="TU VAN SUITE CLOUD"/>
        <s v="VAECO"/>
        <s v="Vận hành công ty NDI"/>
        <s v="Nâng cấp Ước KQKD"/>
        <s v="Xuất hàng không dừng"/>
        <s v="BI EVN SPC"/>
        <s v="QL"/>
        <s v="B_TDA"/>
        <s v="RD_MF6_01_00"/>
        <s v="RB_VC2_02_00"/>
        <s v="RB_VC1_02_00"/>
        <s v="RB_VC9_02_00"/>
        <s v="B_CFC_Websales"/>
        <s v="B_TTG_Websales"/>
        <s v="B_Can_Oristar"/>
        <s v="B_XHTD_HP"/>
        <s v="NB AI ONPREM"/>
        <m/>
        <e v="#N/A" u="1"/>
        <s v="VCR 2026" u="1"/>
        <s v="" u="1"/>
        <s v="Tư vấn Kangaroo" u="1"/>
        <s v="SPC" u="1"/>
      </sharedItems>
    </cacheField>
    <cacheField name="PM" numFmtId="0">
      <sharedItems containsBlank="1"/>
    </cacheField>
    <cacheField name="Trạng thái dự án" numFmtId="0">
      <sharedItems containsBlank="1" count="10">
        <s v="Đang thực hiện (Đã có hợp đồng)"/>
        <s v="Cơ hội"/>
        <s v="Đóng"/>
        <s v="Bảo hành, Bảo trì"/>
        <s v="Đang thực hiện (Chưa có hợp đồng)"/>
        <s v="Đang thực hiện (Nội bộ)"/>
        <m/>
        <e v="#N/A" u="1"/>
        <s v="" u="1"/>
        <s v="Tạm dừng" u="1"/>
      </sharedItems>
    </cacheField>
    <cacheField name="Lọc trùng" numFmtId="0">
      <sharedItems containsBlank="1"/>
    </cacheField>
    <cacheField name="1/5/2026" numFmtId="0">
      <sharedItems containsString="0" containsBlank="1" containsNumber="1" minValue="0" maxValue="1"/>
    </cacheField>
    <cacheField name="1/12/2026" numFmtId="0">
      <sharedItems containsString="0" containsBlank="1" containsNumber="1" minValue="0" maxValue="1"/>
    </cacheField>
    <cacheField name="1/19/2026" numFmtId="0">
      <sharedItems containsString="0" containsBlank="1" containsNumber="1" minValue="0" maxValue="1"/>
    </cacheField>
    <cacheField name="1/26/2026" numFmtId="0">
      <sharedItems containsString="0" containsBlank="1" containsNumber="1" minValue="0" maxValue="1"/>
    </cacheField>
    <cacheField name="2/2/2026" numFmtId="0">
      <sharedItems containsString="0" containsBlank="1" containsNumber="1" minValue="0" maxValue="1"/>
    </cacheField>
    <cacheField name="2/9/2026" numFmtId="0">
      <sharedItems containsString="0" containsBlank="1" containsNumber="1" minValue="0" maxValue="1"/>
    </cacheField>
    <cacheField name="2/16/2026" numFmtId="0">
      <sharedItems containsNonDate="0" containsString="0" containsBlank="1"/>
    </cacheField>
    <cacheField name="2/23/2026" numFmtId="0">
      <sharedItems containsString="0" containsBlank="1" containsNumber="1" minValue="0" maxValue="1"/>
    </cacheField>
    <cacheField name="3/2/2026" numFmtId="0">
      <sharedItems containsString="0" containsBlank="1" containsNumber="1" minValue="0" maxValue="1"/>
    </cacheField>
    <cacheField name="3/9/2026" numFmtId="0">
      <sharedItems containsString="0" containsBlank="1" containsNumber="1" minValue="0" maxValue="1"/>
    </cacheField>
    <cacheField name="3/16/2026" numFmtId="0">
      <sharedItems containsString="0" containsBlank="1" containsNumber="1" minValue="0" maxValue="1"/>
    </cacheField>
    <cacheField name="3/23/2026" numFmtId="0">
      <sharedItems containsString="0" containsBlank="1" containsNumber="1" minValue="0" maxValue="1"/>
    </cacheField>
    <cacheField name="3/30/2026" numFmtId="0">
      <sharedItems containsString="0" containsBlank="1" containsNumber="1" minValue="0" maxValue="1"/>
    </cacheField>
    <cacheField name="4/6/2026" numFmtId="0">
      <sharedItems containsString="0" containsBlank="1" containsNumber="1" minValue="0" maxValue="1"/>
    </cacheField>
    <cacheField name="4/13/2026" numFmtId="0">
      <sharedItems containsString="0" containsBlank="1" containsNumber="1" minValue="0" maxValue="1"/>
    </cacheField>
    <cacheField name="4/20/2026" numFmtId="0">
      <sharedItems containsString="0" containsBlank="1" containsNumber="1" minValue="0" maxValue="1"/>
    </cacheField>
    <cacheField name="4/27/2026" numFmtId="0">
      <sharedItems containsString="0" containsBlank="1" containsNumber="1" minValue="0" maxValue="1"/>
    </cacheField>
    <cacheField name="5/4/2026" numFmtId="0">
      <sharedItems containsString="0" containsBlank="1" containsNumber="1" minValue="0" maxValue="1"/>
    </cacheField>
    <cacheField name="5/11/2026" numFmtId="0">
      <sharedItems containsString="0" containsBlank="1" containsNumber="1" minValue="0" maxValue="1"/>
    </cacheField>
    <cacheField name="5/18/2026" numFmtId="0">
      <sharedItems containsString="0" containsBlank="1" containsNumber="1" minValue="0" maxValue="1"/>
    </cacheField>
    <cacheField name="5/25/2026" numFmtId="0">
      <sharedItems containsString="0" containsBlank="1" containsNumber="1" minValue="0" maxValue="1"/>
    </cacheField>
    <cacheField name="6/1/2026" numFmtId="0">
      <sharedItems containsString="0" containsBlank="1" containsNumber="1" minValue="0" maxValue="1"/>
    </cacheField>
    <cacheField name="6/8/2026" numFmtId="0">
      <sharedItems containsString="0" containsBlank="1" containsNumber="1" minValue="0" maxValue="1"/>
    </cacheField>
    <cacheField name="6/15/2026" numFmtId="0">
      <sharedItems containsString="0" containsBlank="1" containsNumber="1" minValue="0" maxValue="1"/>
    </cacheField>
    <cacheField name="6/22/2026" numFmtId="0">
      <sharedItems containsString="0" containsBlank="1" containsNumber="1" minValue="0" maxValue="1"/>
    </cacheField>
    <cacheField name="6/29/2026" numFmtId="0">
      <sharedItems containsString="0" containsBlank="1" containsNumber="1" minValue="0" maxValue="1"/>
    </cacheField>
    <cacheField name="7/6/2026" numFmtId="0">
      <sharedItems containsNonDate="0" containsString="0" containsBlank="1"/>
    </cacheField>
    <cacheField name="7/13/2026" numFmtId="0">
      <sharedItems containsNonDate="0" containsString="0" containsBlank="1"/>
    </cacheField>
    <cacheField name="7/20/2026" numFmtId="0">
      <sharedItems containsNonDate="0" containsString="0" containsBlank="1"/>
    </cacheField>
    <cacheField name="7/27/2026" numFmtId="0">
      <sharedItems containsNonDate="0" containsString="0" containsBlank="1"/>
    </cacheField>
    <cacheField name="8/3/2026" numFmtId="0">
      <sharedItems containsNonDate="0" containsString="0" containsBlank="1"/>
    </cacheField>
    <cacheField name="8/10/2026" numFmtId="0">
      <sharedItems containsNonDate="0" containsString="0" containsBlank="1"/>
    </cacheField>
    <cacheField name="8/17/2026" numFmtId="0">
      <sharedItems containsNonDate="0" containsString="0" containsBlank="1"/>
    </cacheField>
    <cacheField name="8/24/2026" numFmtId="0">
      <sharedItems containsNonDate="0" containsString="0" containsBlank="1"/>
    </cacheField>
    <cacheField name="8/31/2026" numFmtId="0">
      <sharedItems containsNonDate="0" containsString="0" containsBlank="1"/>
    </cacheField>
    <cacheField name="9/7/2026" numFmtId="0">
      <sharedItems containsNonDate="0" containsString="0" containsBlank="1"/>
    </cacheField>
    <cacheField name="9/14/2026" numFmtId="0">
      <sharedItems containsNonDate="0" containsString="0" containsBlank="1"/>
    </cacheField>
    <cacheField name="9/21/2026" numFmtId="0">
      <sharedItems containsNonDate="0" containsString="0" containsBlank="1"/>
    </cacheField>
    <cacheField name="9/28/2026" numFmtId="0">
      <sharedItems containsNonDate="0" containsString="0" containsBlank="1"/>
    </cacheField>
    <cacheField name="10/5/2026" numFmtId="0">
      <sharedItems containsNonDate="0" containsString="0" containsBlank="1"/>
    </cacheField>
    <cacheField name="10/12/2026" numFmtId="0">
      <sharedItems containsNonDate="0" containsString="0" containsBlank="1"/>
    </cacheField>
    <cacheField name="10/19/2026" numFmtId="0">
      <sharedItems containsNonDate="0" containsString="0" containsBlank="1"/>
    </cacheField>
    <cacheField name="10/26/2026" numFmtId="0">
      <sharedItems containsNonDate="0" containsString="0" containsBlank="1"/>
    </cacheField>
    <cacheField name="11/2/2026" numFmtId="0">
      <sharedItems containsNonDate="0" containsString="0" containsBlank="1"/>
    </cacheField>
    <cacheField name="11/9/2026" numFmtId="0">
      <sharedItems containsNonDate="0" containsString="0" containsBlank="1"/>
    </cacheField>
    <cacheField name="11/16/2026" numFmtId="0">
      <sharedItems containsNonDate="0" containsString="0" containsBlank="1"/>
    </cacheField>
    <cacheField name="11/23/2026" numFmtId="0">
      <sharedItems containsNonDate="0" containsString="0" containsBlank="1"/>
    </cacheField>
    <cacheField name="11/30/2026" numFmtId="0">
      <sharedItems containsNonDate="0" containsString="0" containsBlank="1"/>
    </cacheField>
    <cacheField name="12/7/2026" numFmtId="0">
      <sharedItems containsNonDate="0" containsString="0" containsBlank="1"/>
    </cacheField>
    <cacheField name="12/14/2026" numFmtId="0">
      <sharedItems containsNonDate="0" containsString="0" containsBlank="1"/>
    </cacheField>
    <cacheField name="12/21/2026" numFmtId="0">
      <sharedItems containsNonDate="0" containsString="0" containsBlank="1"/>
    </cacheField>
    <cacheField name="12/28/2026"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s v="tamtn"/>
    <x v="0"/>
    <x v="0"/>
    <x v="0"/>
    <s v="B_MB_ARCHIVE"/>
    <x v="0"/>
    <s v="NgocDH"/>
    <x v="0"/>
    <s v="tamtnB_MB_ARCHIVE"/>
    <n v="0.8"/>
    <n v="0.8"/>
    <n v="0.8"/>
    <n v="0.8"/>
    <n v="0.35"/>
    <n v="0.35"/>
    <m/>
    <n v="0.35"/>
    <m/>
    <m/>
    <m/>
    <m/>
    <m/>
    <m/>
    <m/>
    <m/>
    <m/>
    <m/>
    <m/>
    <m/>
    <m/>
    <m/>
    <m/>
    <m/>
    <m/>
    <m/>
    <m/>
    <m/>
    <m/>
    <m/>
    <m/>
    <m/>
    <m/>
    <m/>
    <m/>
    <m/>
    <m/>
    <m/>
    <m/>
    <m/>
    <m/>
    <m/>
    <m/>
    <m/>
    <m/>
    <m/>
    <m/>
    <m/>
    <m/>
    <m/>
    <m/>
    <m/>
  </r>
  <r>
    <s v="ngocdh"/>
    <x v="1"/>
    <x v="1"/>
    <x v="0"/>
    <s v="B_MB_ARCHIVE"/>
    <x v="0"/>
    <s v="NgocDH"/>
    <x v="0"/>
    <s v="ngocdhB_MB_ARCHIVE"/>
    <n v="0.3"/>
    <n v="0.1"/>
    <n v="0.1"/>
    <n v="0.1"/>
    <n v="0.1"/>
    <n v="0.1"/>
    <m/>
    <n v="0.1"/>
    <m/>
    <m/>
    <m/>
    <m/>
    <m/>
    <m/>
    <m/>
    <m/>
    <m/>
    <m/>
    <m/>
    <m/>
    <m/>
    <m/>
    <m/>
    <m/>
    <m/>
    <m/>
    <m/>
    <m/>
    <m/>
    <m/>
    <m/>
    <m/>
    <m/>
    <m/>
    <m/>
    <m/>
    <m/>
    <m/>
    <m/>
    <m/>
    <m/>
    <m/>
    <m/>
    <m/>
    <m/>
    <m/>
    <m/>
    <m/>
    <m/>
    <m/>
    <m/>
    <m/>
  </r>
  <r>
    <s v="longlm"/>
    <x v="2"/>
    <x v="0"/>
    <x v="0"/>
    <s v="B_MB_ARCHIVE"/>
    <x v="0"/>
    <s v="NgocDH"/>
    <x v="0"/>
    <s v="longlmB_MB_ARCHIVE"/>
    <n v="1"/>
    <n v="1"/>
    <n v="1"/>
    <n v="1"/>
    <n v="0.5"/>
    <n v="0.5"/>
    <m/>
    <n v="1"/>
    <n v="1"/>
    <m/>
    <m/>
    <m/>
    <m/>
    <m/>
    <m/>
    <m/>
    <m/>
    <m/>
    <m/>
    <m/>
    <m/>
    <m/>
    <m/>
    <m/>
    <m/>
    <m/>
    <m/>
    <m/>
    <m/>
    <m/>
    <m/>
    <m/>
    <m/>
    <m/>
    <m/>
    <m/>
    <m/>
    <m/>
    <m/>
    <m/>
    <m/>
    <m/>
    <m/>
    <m/>
    <m/>
    <m/>
    <m/>
    <m/>
    <m/>
    <m/>
    <m/>
    <m/>
  </r>
  <r>
    <s v="conglc"/>
    <x v="3"/>
    <x v="0"/>
    <x v="0"/>
    <s v="B_MB_ARCHIVE"/>
    <x v="0"/>
    <s v="NgocDH"/>
    <x v="0"/>
    <s v="conglcB_MB_ARCHIVE"/>
    <n v="0.25"/>
    <n v="0.5"/>
    <n v="0.3"/>
    <n v="0.25"/>
    <n v="0.3"/>
    <n v="0.3"/>
    <m/>
    <m/>
    <m/>
    <m/>
    <m/>
    <m/>
    <m/>
    <m/>
    <m/>
    <m/>
    <m/>
    <m/>
    <m/>
    <m/>
    <m/>
    <m/>
    <m/>
    <m/>
    <m/>
    <m/>
    <m/>
    <m/>
    <m/>
    <m/>
    <m/>
    <m/>
    <m/>
    <m/>
    <m/>
    <m/>
    <m/>
    <m/>
    <m/>
    <m/>
    <m/>
    <m/>
    <m/>
    <m/>
    <m/>
    <m/>
    <m/>
    <m/>
    <m/>
    <m/>
    <m/>
    <m/>
  </r>
  <r>
    <s v="thangnm"/>
    <x v="4"/>
    <x v="1"/>
    <x v="0"/>
    <s v="B_VNA_RPS"/>
    <x v="1"/>
    <s v="AnhNHT"/>
    <x v="0"/>
    <s v="thangnmB_VNA_RPS"/>
    <n v="1"/>
    <n v="1"/>
    <n v="1"/>
    <n v="1"/>
    <n v="1"/>
    <n v="1"/>
    <m/>
    <n v="1"/>
    <n v="1"/>
    <n v="1"/>
    <n v="1"/>
    <n v="1"/>
    <n v="1"/>
    <n v="1"/>
    <n v="1"/>
    <n v="1"/>
    <n v="1"/>
    <n v="1"/>
    <n v="1"/>
    <n v="1"/>
    <n v="1"/>
    <n v="1"/>
    <n v="1"/>
    <n v="1"/>
    <n v="1"/>
    <n v="1"/>
    <m/>
    <m/>
    <m/>
    <m/>
    <m/>
    <m/>
    <m/>
    <m/>
    <m/>
    <m/>
    <m/>
    <m/>
    <m/>
    <m/>
    <m/>
    <m/>
    <m/>
    <m/>
    <m/>
    <m/>
    <m/>
    <m/>
    <m/>
    <m/>
    <m/>
    <m/>
  </r>
  <r>
    <s v="ngocdh"/>
    <x v="1"/>
    <x v="1"/>
    <x v="0"/>
    <s v="B_VNA_RPS"/>
    <x v="1"/>
    <s v="AnhNHT"/>
    <x v="0"/>
    <s v="ngocdhB_VNA_RPS"/>
    <n v="0.5"/>
    <n v="0.1"/>
    <n v="0.1"/>
    <n v="0.1"/>
    <n v="0.1"/>
    <n v="0.1"/>
    <m/>
    <n v="0.1"/>
    <n v="0.1"/>
    <n v="0.1"/>
    <n v="0.1"/>
    <n v="0.1"/>
    <n v="0.1"/>
    <n v="0.1"/>
    <n v="0.1"/>
    <n v="0.1"/>
    <n v="0.1"/>
    <n v="0.1"/>
    <n v="0.1"/>
    <n v="0.1"/>
    <n v="0.1"/>
    <n v="0.1"/>
    <n v="0.1"/>
    <n v="0.1"/>
    <n v="0.1"/>
    <n v="0.1"/>
    <m/>
    <m/>
    <m/>
    <m/>
    <m/>
    <m/>
    <m/>
    <m/>
    <m/>
    <m/>
    <m/>
    <m/>
    <m/>
    <m/>
    <m/>
    <m/>
    <m/>
    <m/>
    <m/>
    <m/>
    <m/>
    <m/>
    <m/>
    <m/>
    <m/>
    <m/>
  </r>
  <r>
    <s v="lamnv"/>
    <x v="5"/>
    <x v="0"/>
    <x v="0"/>
    <s v="B_VNA_RPS"/>
    <x v="1"/>
    <s v="AnhNHT"/>
    <x v="0"/>
    <s v="lamnvB_VNA_RPS"/>
    <n v="0.5"/>
    <n v="1"/>
    <n v="1"/>
    <n v="1"/>
    <n v="1"/>
    <n v="1"/>
    <m/>
    <n v="0.85"/>
    <n v="0.5"/>
    <n v="0.5"/>
    <n v="0.5"/>
    <n v="0.5"/>
    <n v="0.5"/>
    <n v="0.5"/>
    <n v="0.5"/>
    <n v="0.5"/>
    <n v="0.5"/>
    <n v="0.5"/>
    <n v="0.5"/>
    <n v="0.5"/>
    <n v="0.5"/>
    <n v="0.5"/>
    <n v="0.5"/>
    <n v="0.5"/>
    <n v="0.5"/>
    <n v="0.5"/>
    <m/>
    <m/>
    <m/>
    <m/>
    <m/>
    <m/>
    <m/>
    <m/>
    <m/>
    <m/>
    <m/>
    <m/>
    <m/>
    <m/>
    <m/>
    <m/>
    <m/>
    <m/>
    <m/>
    <m/>
    <m/>
    <m/>
    <m/>
    <m/>
    <m/>
    <m/>
  </r>
  <r>
    <s v="anhnht"/>
    <x v="6"/>
    <x v="1"/>
    <x v="0"/>
    <s v="B_VNA_RPS"/>
    <x v="1"/>
    <s v="AnhNHT"/>
    <x v="0"/>
    <s v="anhnhtB_VNA_RPS"/>
    <m/>
    <m/>
    <m/>
    <m/>
    <m/>
    <m/>
    <m/>
    <m/>
    <m/>
    <m/>
    <m/>
    <m/>
    <m/>
    <m/>
    <m/>
    <m/>
    <m/>
    <m/>
    <m/>
    <m/>
    <m/>
    <m/>
    <m/>
    <m/>
    <m/>
    <m/>
    <m/>
    <m/>
    <m/>
    <m/>
    <m/>
    <m/>
    <m/>
    <m/>
    <m/>
    <m/>
    <m/>
    <m/>
    <m/>
    <m/>
    <m/>
    <m/>
    <m/>
    <m/>
    <m/>
    <m/>
    <m/>
    <m/>
    <m/>
    <m/>
    <m/>
    <m/>
  </r>
  <r>
    <s v="tamtn"/>
    <x v="0"/>
    <x v="0"/>
    <x v="0"/>
    <s v="BD_ID0_01_00"/>
    <x v="2"/>
    <s v="AnhHT"/>
    <x v="0"/>
    <s v="tamtnBD_ID0_01_00"/>
    <m/>
    <m/>
    <m/>
    <n v="0.2"/>
    <n v="0.4"/>
    <n v="0.4"/>
    <m/>
    <n v="0.4"/>
    <n v="0.3"/>
    <n v="0.3"/>
    <n v="0.3"/>
    <n v="0.3"/>
    <n v="0.3"/>
    <n v="0.3"/>
    <n v="0.3"/>
    <n v="0.3"/>
    <n v="0.3"/>
    <n v="0.3"/>
    <n v="0.3"/>
    <n v="0.3"/>
    <n v="0.3"/>
    <n v="0.3"/>
    <n v="0.3"/>
    <n v="0.3"/>
    <n v="0.3"/>
    <n v="0.3"/>
    <m/>
    <m/>
    <m/>
    <m/>
    <m/>
    <m/>
    <m/>
    <m/>
    <m/>
    <m/>
    <m/>
    <m/>
    <m/>
    <m/>
    <m/>
    <m/>
    <m/>
    <m/>
    <m/>
    <m/>
    <m/>
    <m/>
    <m/>
    <m/>
    <m/>
    <m/>
  </r>
  <r>
    <s v="anhht"/>
    <x v="7"/>
    <x v="1"/>
    <x v="0"/>
    <s v="BD_ID0_01_00"/>
    <x v="2"/>
    <s v="AnhHT"/>
    <x v="0"/>
    <s v="anhhtBD_ID0_01_00"/>
    <m/>
    <m/>
    <m/>
    <n v="0.2"/>
    <n v="0.2"/>
    <n v="0.1"/>
    <m/>
    <m/>
    <n v="0.15"/>
    <n v="0.15"/>
    <n v="0.15"/>
    <m/>
    <n v="0.15"/>
    <n v="0.15"/>
    <n v="0.15"/>
    <m/>
    <n v="0.15"/>
    <n v="0.15"/>
    <n v="0.15"/>
    <m/>
    <n v="0.15"/>
    <n v="0.15"/>
    <n v="0.15"/>
    <m/>
    <n v="0.15"/>
    <n v="0.15"/>
    <m/>
    <m/>
    <m/>
    <m/>
    <m/>
    <m/>
    <m/>
    <m/>
    <m/>
    <m/>
    <m/>
    <m/>
    <m/>
    <m/>
    <m/>
    <m/>
    <m/>
    <m/>
    <m/>
    <m/>
    <m/>
    <m/>
    <m/>
    <m/>
    <m/>
    <m/>
  </r>
  <r>
    <s v="nhungnt2"/>
    <x v="8"/>
    <x v="0"/>
    <x v="0"/>
    <s v="BD_GE0_01_00"/>
    <x v="3"/>
    <s v="AnhNHT"/>
    <x v="0"/>
    <s v="nhungnt2BD_GE0_01_00"/>
    <n v="1"/>
    <n v="1"/>
    <n v="1"/>
    <n v="1"/>
    <n v="0.6"/>
    <m/>
    <m/>
    <m/>
    <m/>
    <m/>
    <m/>
    <m/>
    <m/>
    <m/>
    <m/>
    <m/>
    <m/>
    <m/>
    <m/>
    <m/>
    <m/>
    <m/>
    <m/>
    <m/>
    <m/>
    <m/>
    <m/>
    <m/>
    <m/>
    <m/>
    <m/>
    <m/>
    <m/>
    <m/>
    <m/>
    <m/>
    <m/>
    <m/>
    <m/>
    <m/>
    <m/>
    <m/>
    <m/>
    <m/>
    <m/>
    <m/>
    <m/>
    <m/>
    <m/>
    <m/>
    <m/>
    <m/>
  </r>
  <r>
    <s v="minhdd"/>
    <x v="9"/>
    <x v="1"/>
    <x v="0"/>
    <s v="BD_GE0_01_00"/>
    <x v="3"/>
    <s v="AnhNHT"/>
    <x v="0"/>
    <s v="minhddBD_GE0_01_00"/>
    <n v="1"/>
    <n v="1"/>
    <n v="1"/>
    <n v="1"/>
    <n v="1"/>
    <n v="1"/>
    <m/>
    <n v="1"/>
    <n v="1"/>
    <n v="0.5"/>
    <m/>
    <m/>
    <m/>
    <n v="0.5"/>
    <n v="0.5"/>
    <n v="0.5"/>
    <n v="0.5"/>
    <n v="1"/>
    <n v="1"/>
    <n v="1"/>
    <n v="1"/>
    <n v="1"/>
    <n v="1"/>
    <n v="1"/>
    <n v="1"/>
    <n v="1"/>
    <m/>
    <m/>
    <m/>
    <m/>
    <m/>
    <m/>
    <m/>
    <m/>
    <m/>
    <m/>
    <m/>
    <m/>
    <m/>
    <m/>
    <m/>
    <m/>
    <m/>
    <m/>
    <m/>
    <m/>
    <m/>
    <m/>
    <m/>
    <m/>
    <m/>
    <m/>
  </r>
  <r>
    <s v="maint"/>
    <x v="10"/>
    <x v="1"/>
    <x v="0"/>
    <s v="BD_GE0_01_00"/>
    <x v="3"/>
    <s v="AnhNHT"/>
    <x v="0"/>
    <s v="maintBD_GE0_01_00"/>
    <n v="1"/>
    <n v="1"/>
    <n v="1"/>
    <n v="1"/>
    <n v="1"/>
    <n v="1"/>
    <m/>
    <n v="0.5"/>
    <n v="0.5"/>
    <n v="0.5"/>
    <n v="0.5"/>
    <n v="0.5"/>
    <n v="0.5"/>
    <n v="0.5"/>
    <n v="0.5"/>
    <n v="0.5"/>
    <n v="0.5"/>
    <n v="0.5"/>
    <n v="0.5"/>
    <n v="0.5"/>
    <n v="0.5"/>
    <n v="0.5"/>
    <n v="0.5"/>
    <n v="0.5"/>
    <n v="0.5"/>
    <n v="0.5"/>
    <m/>
    <m/>
    <m/>
    <m/>
    <m/>
    <m/>
    <m/>
    <m/>
    <m/>
    <m/>
    <m/>
    <m/>
    <m/>
    <m/>
    <m/>
    <m/>
    <m/>
    <m/>
    <m/>
    <m/>
    <m/>
    <m/>
    <m/>
    <m/>
    <m/>
    <m/>
  </r>
  <r>
    <s v="lamnv"/>
    <x v="5"/>
    <x v="0"/>
    <x v="0"/>
    <s v="BD_GE0_01_00"/>
    <x v="3"/>
    <s v="AnhNHT"/>
    <x v="0"/>
    <s v="lamnvBD_GE0_01_00"/>
    <m/>
    <m/>
    <m/>
    <m/>
    <m/>
    <m/>
    <m/>
    <m/>
    <m/>
    <m/>
    <m/>
    <m/>
    <m/>
    <m/>
    <m/>
    <m/>
    <m/>
    <m/>
    <m/>
    <m/>
    <m/>
    <m/>
    <m/>
    <m/>
    <m/>
    <m/>
    <m/>
    <m/>
    <m/>
    <m/>
    <m/>
    <m/>
    <m/>
    <m/>
    <m/>
    <m/>
    <m/>
    <m/>
    <m/>
    <m/>
    <m/>
    <m/>
    <m/>
    <m/>
    <m/>
    <m/>
    <m/>
    <m/>
    <m/>
    <m/>
    <m/>
    <m/>
  </r>
  <r>
    <s v="hieudt"/>
    <x v="11"/>
    <x v="0"/>
    <x v="0"/>
    <s v="BD_GE0_01_00"/>
    <x v="3"/>
    <s v="AnhNHT"/>
    <x v="0"/>
    <s v="hieudtBD_GE0_01_00"/>
    <n v="1"/>
    <n v="1"/>
    <n v="1"/>
    <n v="1"/>
    <n v="1"/>
    <n v="1"/>
    <m/>
    <n v="0.5"/>
    <n v="1"/>
    <n v="1"/>
    <n v="0.7"/>
    <n v="0.7"/>
    <n v="0.7"/>
    <n v="1"/>
    <n v="1"/>
    <n v="1"/>
    <n v="1"/>
    <n v="1"/>
    <n v="1"/>
    <n v="1"/>
    <n v="1"/>
    <n v="1"/>
    <n v="1"/>
    <n v="1"/>
    <n v="1"/>
    <n v="1"/>
    <m/>
    <m/>
    <m/>
    <m/>
    <m/>
    <m/>
    <m/>
    <m/>
    <m/>
    <m/>
    <m/>
    <m/>
    <m/>
    <m/>
    <m/>
    <m/>
    <m/>
    <m/>
    <m/>
    <m/>
    <m/>
    <m/>
    <m/>
    <m/>
    <m/>
    <m/>
  </r>
  <r>
    <s v="anhnht"/>
    <x v="6"/>
    <x v="1"/>
    <x v="0"/>
    <s v="BD_GE0_01_00"/>
    <x v="3"/>
    <s v="AnhNHT"/>
    <x v="0"/>
    <s v="anhnhtBD_GE0_01_00"/>
    <n v="0.6"/>
    <n v="0.6"/>
    <n v="0.6"/>
    <n v="0.6"/>
    <n v="0.6"/>
    <n v="0.6"/>
    <m/>
    <n v="0.6"/>
    <n v="0.6"/>
    <n v="0.6"/>
    <n v="0.6"/>
    <n v="0.6"/>
    <n v="0.6"/>
    <n v="0.6"/>
    <n v="0.6"/>
    <n v="0.6"/>
    <n v="0.6"/>
    <n v="0.6"/>
    <n v="0.6"/>
    <n v="0.6"/>
    <n v="0.6"/>
    <n v="0.6"/>
    <n v="0.6"/>
    <n v="0.6"/>
    <n v="0.6"/>
    <n v="0.6"/>
    <m/>
    <m/>
    <m/>
    <m/>
    <m/>
    <m/>
    <m/>
    <m/>
    <m/>
    <m/>
    <m/>
    <m/>
    <m/>
    <m/>
    <m/>
    <m/>
    <m/>
    <m/>
    <m/>
    <m/>
    <m/>
    <m/>
    <m/>
    <m/>
    <m/>
    <m/>
  </r>
  <r>
    <s v="hieunm"/>
    <x v="12"/>
    <x v="0"/>
    <x v="1"/>
    <s v="BD_GE0_01_00"/>
    <x v="3"/>
    <s v="AnhNHT"/>
    <x v="0"/>
    <s v="hieunmBD_GE0_01_00"/>
    <m/>
    <m/>
    <m/>
    <m/>
    <m/>
    <m/>
    <m/>
    <n v="0.5"/>
    <n v="1"/>
    <n v="1"/>
    <n v="1"/>
    <n v="1"/>
    <n v="1"/>
    <n v="1"/>
    <n v="1"/>
    <n v="1"/>
    <n v="1"/>
    <n v="1"/>
    <n v="1"/>
    <n v="1"/>
    <n v="1"/>
    <n v="1"/>
    <n v="1"/>
    <n v="1"/>
    <n v="1"/>
    <n v="1"/>
    <m/>
    <m/>
    <m/>
    <m/>
    <m/>
    <m/>
    <m/>
    <m/>
    <m/>
    <m/>
    <m/>
    <m/>
    <m/>
    <m/>
    <m/>
    <m/>
    <m/>
    <m/>
    <m/>
    <m/>
    <m/>
    <m/>
    <m/>
    <m/>
    <m/>
    <m/>
  </r>
  <r>
    <s v="tanhm"/>
    <x v="13"/>
    <x v="1"/>
    <x v="0"/>
    <s v="BD_EN4_01_00"/>
    <x v="4"/>
    <s v="AnhNHT"/>
    <x v="1"/>
    <s v="tanhmBD_EN4_01_00"/>
    <m/>
    <m/>
    <m/>
    <m/>
    <m/>
    <m/>
    <m/>
    <m/>
    <m/>
    <m/>
    <m/>
    <m/>
    <m/>
    <m/>
    <m/>
    <m/>
    <m/>
    <m/>
    <m/>
    <m/>
    <m/>
    <m/>
    <m/>
    <m/>
    <m/>
    <m/>
    <m/>
    <m/>
    <m/>
    <m/>
    <m/>
    <m/>
    <m/>
    <m/>
    <m/>
    <m/>
    <m/>
    <m/>
    <m/>
    <m/>
    <m/>
    <m/>
    <m/>
    <m/>
    <m/>
    <m/>
    <m/>
    <m/>
    <m/>
    <m/>
    <m/>
    <m/>
  </r>
  <r>
    <s v="phatnl"/>
    <x v="14"/>
    <x v="1"/>
    <x v="0"/>
    <s v="BD_EN4_01_00"/>
    <x v="4"/>
    <s v="AnhNHT"/>
    <x v="1"/>
    <s v="phatnlBD_EN4_01_00"/>
    <n v="0.2"/>
    <n v="0.2"/>
    <n v="0.2"/>
    <n v="0.2"/>
    <n v="0.2"/>
    <n v="0.2"/>
    <m/>
    <n v="0.3"/>
    <n v="0.05"/>
    <n v="0.1"/>
    <n v="0"/>
    <n v="0.2"/>
    <n v="0.2"/>
    <m/>
    <m/>
    <m/>
    <m/>
    <m/>
    <m/>
    <m/>
    <m/>
    <m/>
    <m/>
    <m/>
    <m/>
    <m/>
    <m/>
    <m/>
    <m/>
    <m/>
    <m/>
    <m/>
    <m/>
    <m/>
    <m/>
    <m/>
    <m/>
    <m/>
    <m/>
    <m/>
    <m/>
    <m/>
    <m/>
    <m/>
    <m/>
    <m/>
    <m/>
    <m/>
    <m/>
    <m/>
    <m/>
    <m/>
  </r>
  <r>
    <s v="anhnht"/>
    <x v="6"/>
    <x v="1"/>
    <x v="0"/>
    <s v="BD_EN4_01_00"/>
    <x v="4"/>
    <s v="AnhNHT"/>
    <x v="1"/>
    <s v="anhnhtBD_EN4_01_00"/>
    <m/>
    <m/>
    <m/>
    <m/>
    <m/>
    <m/>
    <m/>
    <m/>
    <m/>
    <m/>
    <m/>
    <m/>
    <m/>
    <m/>
    <m/>
    <m/>
    <m/>
    <m/>
    <m/>
    <m/>
    <m/>
    <m/>
    <m/>
    <m/>
    <m/>
    <m/>
    <m/>
    <m/>
    <m/>
    <m/>
    <m/>
    <m/>
    <m/>
    <m/>
    <m/>
    <m/>
    <m/>
    <m/>
    <m/>
    <m/>
    <m/>
    <m/>
    <m/>
    <m/>
    <m/>
    <m/>
    <m/>
    <m/>
    <m/>
    <m/>
    <m/>
    <m/>
  </r>
  <r>
    <s v="huyenttt"/>
    <x v="15"/>
    <x v="1"/>
    <x v="0"/>
    <s v="BD_EN4_01_00"/>
    <x v="4"/>
    <s v="AnhNHT"/>
    <x v="1"/>
    <s v="huyentttBD_EN4_01_00"/>
    <n v="0"/>
    <n v="0"/>
    <n v="0"/>
    <n v="0"/>
    <n v="0"/>
    <n v="0"/>
    <m/>
    <n v="0"/>
    <n v="0"/>
    <n v="0"/>
    <n v="0"/>
    <n v="0"/>
    <n v="0"/>
    <m/>
    <m/>
    <m/>
    <m/>
    <m/>
    <m/>
    <m/>
    <m/>
    <m/>
    <m/>
    <m/>
    <m/>
    <m/>
    <m/>
    <m/>
    <m/>
    <m/>
    <m/>
    <m/>
    <m/>
    <m/>
    <m/>
    <m/>
    <m/>
    <m/>
    <m/>
    <m/>
    <m/>
    <m/>
    <m/>
    <m/>
    <m/>
    <m/>
    <m/>
    <m/>
    <m/>
    <m/>
    <m/>
    <m/>
  </r>
  <r>
    <s v="ngocdh"/>
    <x v="1"/>
    <x v="1"/>
    <x v="0"/>
    <s v="BD_EN1_01_00"/>
    <x v="5"/>
    <s v="AnhNHT"/>
    <x v="2"/>
    <s v="ngocdhBD_EN1_01_00"/>
    <n v="0.1"/>
    <m/>
    <m/>
    <m/>
    <m/>
    <m/>
    <m/>
    <m/>
    <m/>
    <m/>
    <m/>
    <m/>
    <m/>
    <m/>
    <m/>
    <m/>
    <m/>
    <m/>
    <m/>
    <m/>
    <m/>
    <m/>
    <m/>
    <m/>
    <m/>
    <m/>
    <m/>
    <m/>
    <m/>
    <m/>
    <m/>
    <m/>
    <m/>
    <m/>
    <m/>
    <m/>
    <m/>
    <m/>
    <m/>
    <m/>
    <m/>
    <m/>
    <m/>
    <m/>
    <m/>
    <m/>
    <m/>
    <m/>
    <m/>
    <m/>
    <m/>
    <m/>
  </r>
  <r>
    <s v="trangth"/>
    <x v="16"/>
    <x v="1"/>
    <x v="0"/>
    <s v="B_MB_AUTOMATION_QA_CNTT"/>
    <x v="6"/>
    <s v="CongLC"/>
    <x v="2"/>
    <s v="trangthB_MB_AUTOMATION_QA_CNTT"/>
    <m/>
    <m/>
    <m/>
    <m/>
    <m/>
    <m/>
    <m/>
    <m/>
    <m/>
    <m/>
    <m/>
    <m/>
    <m/>
    <m/>
    <m/>
    <m/>
    <m/>
    <m/>
    <m/>
    <m/>
    <m/>
    <m/>
    <m/>
    <m/>
    <m/>
    <m/>
    <m/>
    <m/>
    <m/>
    <m/>
    <m/>
    <m/>
    <m/>
    <m/>
    <m/>
    <m/>
    <m/>
    <m/>
    <m/>
    <m/>
    <m/>
    <m/>
    <m/>
    <m/>
    <m/>
    <m/>
    <m/>
    <m/>
    <m/>
    <m/>
    <m/>
    <m/>
  </r>
  <r>
    <s v="phucld"/>
    <x v="17"/>
    <x v="0"/>
    <x v="0"/>
    <s v="B_MB_AUTOMATION_QA_CNTT"/>
    <x v="6"/>
    <s v="CongLC"/>
    <x v="2"/>
    <s v="phucldB_MB_AUTOMATION_QA_CNTT"/>
    <m/>
    <m/>
    <m/>
    <m/>
    <m/>
    <m/>
    <m/>
    <m/>
    <m/>
    <m/>
    <m/>
    <m/>
    <m/>
    <m/>
    <m/>
    <m/>
    <m/>
    <m/>
    <m/>
    <m/>
    <m/>
    <m/>
    <m/>
    <m/>
    <m/>
    <m/>
    <m/>
    <m/>
    <m/>
    <m/>
    <m/>
    <m/>
    <m/>
    <m/>
    <m/>
    <m/>
    <m/>
    <m/>
    <m/>
    <m/>
    <m/>
    <m/>
    <m/>
    <m/>
    <m/>
    <m/>
    <m/>
    <m/>
    <m/>
    <m/>
    <m/>
    <m/>
  </r>
  <r>
    <s v="nhungnt2"/>
    <x v="8"/>
    <x v="0"/>
    <x v="0"/>
    <s v="B_MB_AUTOMATION_QA_CNTT"/>
    <x v="6"/>
    <s v="CongLC"/>
    <x v="2"/>
    <s v="nhungnt2B_MB_AUTOMATION_QA_CNTT"/>
    <m/>
    <m/>
    <m/>
    <m/>
    <m/>
    <m/>
    <m/>
    <m/>
    <m/>
    <m/>
    <m/>
    <m/>
    <m/>
    <m/>
    <m/>
    <m/>
    <m/>
    <m/>
    <m/>
    <m/>
    <m/>
    <m/>
    <m/>
    <m/>
    <m/>
    <m/>
    <m/>
    <m/>
    <m/>
    <m/>
    <m/>
    <m/>
    <m/>
    <m/>
    <m/>
    <m/>
    <m/>
    <m/>
    <m/>
    <m/>
    <m/>
    <m/>
    <m/>
    <m/>
    <m/>
    <m/>
    <m/>
    <m/>
    <m/>
    <m/>
    <m/>
    <m/>
  </r>
  <r>
    <s v="ngocdh"/>
    <x v="1"/>
    <x v="1"/>
    <x v="0"/>
    <s v="B_MB_AUTOMATION_QA_CNTT"/>
    <x v="6"/>
    <s v="CongLC"/>
    <x v="2"/>
    <s v="ngocdhB_MB_AUTOMATION_QA_CNTT"/>
    <m/>
    <m/>
    <m/>
    <m/>
    <m/>
    <m/>
    <m/>
    <m/>
    <m/>
    <m/>
    <m/>
    <m/>
    <m/>
    <m/>
    <m/>
    <m/>
    <m/>
    <m/>
    <m/>
    <m/>
    <m/>
    <m/>
    <m/>
    <m/>
    <m/>
    <m/>
    <m/>
    <m/>
    <m/>
    <m/>
    <m/>
    <m/>
    <m/>
    <m/>
    <m/>
    <m/>
    <m/>
    <m/>
    <m/>
    <m/>
    <m/>
    <m/>
    <m/>
    <m/>
    <m/>
    <m/>
    <m/>
    <m/>
    <m/>
    <m/>
    <m/>
    <m/>
  </r>
  <r>
    <s v="conglc"/>
    <x v="3"/>
    <x v="0"/>
    <x v="0"/>
    <s v="B_MB_AUTOMATION_QA_CNTT"/>
    <x v="6"/>
    <s v="CongLC"/>
    <x v="2"/>
    <s v="=A42&amp;E42"/>
    <m/>
    <m/>
    <m/>
    <m/>
    <m/>
    <m/>
    <m/>
    <m/>
    <m/>
    <m/>
    <m/>
    <m/>
    <m/>
    <m/>
    <m/>
    <m/>
    <m/>
    <m/>
    <m/>
    <m/>
    <m/>
    <m/>
    <m/>
    <m/>
    <m/>
    <m/>
    <m/>
    <m/>
    <m/>
    <m/>
    <m/>
    <m/>
    <m/>
    <m/>
    <m/>
    <m/>
    <m/>
    <m/>
    <m/>
    <m/>
    <m/>
    <m/>
    <m/>
    <m/>
    <m/>
    <m/>
    <m/>
    <m/>
    <m/>
    <m/>
    <m/>
    <m/>
  </r>
  <r>
    <s v="trangth"/>
    <x v="16"/>
    <x v="1"/>
    <x v="0"/>
    <s v="B_MB_QLDT"/>
    <x v="7"/>
    <s v="CongLC"/>
    <x v="0"/>
    <s v="trangthB_MB_QLDT"/>
    <n v="0.3"/>
    <n v="0.3"/>
    <n v="0.3"/>
    <n v="0.3"/>
    <n v="0.5"/>
    <n v="0.5"/>
    <m/>
    <n v="0.5"/>
    <m/>
    <m/>
    <m/>
    <m/>
    <m/>
    <m/>
    <m/>
    <m/>
    <m/>
    <m/>
    <m/>
    <m/>
    <m/>
    <m/>
    <m/>
    <m/>
    <m/>
    <m/>
    <m/>
    <m/>
    <m/>
    <m/>
    <m/>
    <m/>
    <m/>
    <m/>
    <m/>
    <m/>
    <m/>
    <m/>
    <m/>
    <m/>
    <m/>
    <m/>
    <m/>
    <m/>
    <m/>
    <m/>
    <m/>
    <m/>
    <m/>
    <m/>
    <m/>
    <m/>
  </r>
  <r>
    <s v="tanhm"/>
    <x v="13"/>
    <x v="1"/>
    <x v="0"/>
    <s v="B_MB_QLDT"/>
    <x v="7"/>
    <s v="CongLC"/>
    <x v="0"/>
    <s v="tanhmB_MB_QLDT"/>
    <m/>
    <m/>
    <m/>
    <m/>
    <m/>
    <m/>
    <m/>
    <m/>
    <m/>
    <m/>
    <m/>
    <m/>
    <m/>
    <m/>
    <m/>
    <m/>
    <m/>
    <m/>
    <m/>
    <m/>
    <m/>
    <m/>
    <m/>
    <m/>
    <m/>
    <m/>
    <m/>
    <m/>
    <m/>
    <m/>
    <m/>
    <m/>
    <m/>
    <m/>
    <m/>
    <m/>
    <m/>
    <m/>
    <m/>
    <m/>
    <m/>
    <m/>
    <m/>
    <m/>
    <m/>
    <m/>
    <m/>
    <m/>
    <m/>
    <m/>
    <m/>
    <m/>
  </r>
  <r>
    <s v="phucld"/>
    <x v="17"/>
    <x v="0"/>
    <x v="0"/>
    <s v="B_MB_QLDT"/>
    <x v="7"/>
    <s v="CongLC"/>
    <x v="0"/>
    <s v="phucldB_MB_QLDT"/>
    <n v="0.5"/>
    <n v="0.5"/>
    <n v="0.5"/>
    <n v="0.5"/>
    <n v="0.5"/>
    <n v="0.5"/>
    <m/>
    <n v="0.5"/>
    <n v="0.5"/>
    <n v="0.5"/>
    <n v="0.5"/>
    <n v="0.5"/>
    <n v="0.5"/>
    <n v="0.5"/>
    <n v="0.5"/>
    <n v="0.5"/>
    <n v="0.5"/>
    <n v="0.5"/>
    <n v="0.5"/>
    <n v="0.5"/>
    <n v="0.5"/>
    <n v="0.5"/>
    <n v="0.5"/>
    <n v="0.5"/>
    <n v="0.5"/>
    <n v="0.5"/>
    <m/>
    <m/>
    <m/>
    <m/>
    <m/>
    <m/>
    <m/>
    <m/>
    <m/>
    <m/>
    <m/>
    <m/>
    <m/>
    <m/>
    <m/>
    <m/>
    <m/>
    <m/>
    <m/>
    <m/>
    <m/>
    <m/>
    <m/>
    <m/>
    <m/>
    <m/>
  </r>
  <r>
    <s v="conglc"/>
    <x v="3"/>
    <x v="0"/>
    <x v="0"/>
    <s v="B_MB_QLDT"/>
    <x v="7"/>
    <s v="CongLC"/>
    <x v="0"/>
    <s v="conglcB_MB_QLDT"/>
    <n v="0.2"/>
    <n v="0.2"/>
    <n v="0.2"/>
    <n v="0.2"/>
    <n v="0.1"/>
    <n v="0.1"/>
    <m/>
    <n v="0.2"/>
    <n v="0.2"/>
    <n v="0.2"/>
    <n v="0.2"/>
    <n v="0.2"/>
    <n v="0.2"/>
    <n v="0.2"/>
    <n v="0.2"/>
    <n v="0.2"/>
    <n v="0.2"/>
    <n v="0.2"/>
    <n v="0.2"/>
    <n v="0.2"/>
    <n v="0.2"/>
    <n v="0.2"/>
    <n v="0.2"/>
    <n v="0.2"/>
    <n v="0.2"/>
    <n v="0.2"/>
    <m/>
    <m/>
    <m/>
    <m/>
    <m/>
    <m/>
    <m/>
    <m/>
    <m/>
    <m/>
    <m/>
    <m/>
    <m/>
    <m/>
    <m/>
    <m/>
    <m/>
    <m/>
    <m/>
    <m/>
    <m/>
    <m/>
    <m/>
    <m/>
    <m/>
    <m/>
  </r>
  <r>
    <s v="maint"/>
    <x v="10"/>
    <x v="1"/>
    <x v="0"/>
    <s v="B_MB_QLDT"/>
    <x v="7"/>
    <s v="CongLC"/>
    <x v="0"/>
    <s v="maintB_MB_QLDT"/>
    <m/>
    <m/>
    <m/>
    <m/>
    <m/>
    <m/>
    <m/>
    <m/>
    <n v="0.5"/>
    <n v="0.5"/>
    <n v="0.5"/>
    <n v="0.5"/>
    <n v="0.5"/>
    <n v="0.5"/>
    <n v="0.5"/>
    <n v="0.5"/>
    <n v="0.5"/>
    <n v="0.5"/>
    <n v="0.5"/>
    <n v="0.5"/>
    <n v="0.5"/>
    <n v="0.5"/>
    <n v="0.5"/>
    <n v="0.5"/>
    <n v="0.5"/>
    <n v="0.5"/>
    <m/>
    <m/>
    <m/>
    <m/>
    <m/>
    <m/>
    <m/>
    <m/>
    <m/>
    <m/>
    <m/>
    <m/>
    <m/>
    <m/>
    <m/>
    <m/>
    <m/>
    <m/>
    <m/>
    <m/>
    <m/>
    <m/>
    <m/>
    <m/>
    <m/>
    <m/>
  </r>
  <r>
    <s v="tanhm"/>
    <x v="13"/>
    <x v="1"/>
    <x v="0"/>
    <s v="BD_TH0_01_00"/>
    <x v="8"/>
    <s v="AnhHT"/>
    <x v="0"/>
    <s v="tanhmBD_TH0_01_00"/>
    <m/>
    <m/>
    <m/>
    <m/>
    <m/>
    <m/>
    <m/>
    <m/>
    <m/>
    <m/>
    <m/>
    <m/>
    <m/>
    <m/>
    <m/>
    <m/>
    <m/>
    <m/>
    <m/>
    <m/>
    <m/>
    <m/>
    <m/>
    <m/>
    <m/>
    <m/>
    <m/>
    <m/>
    <m/>
    <m/>
    <m/>
    <m/>
    <m/>
    <m/>
    <m/>
    <m/>
    <m/>
    <m/>
    <m/>
    <m/>
    <m/>
    <m/>
    <m/>
    <m/>
    <m/>
    <m/>
    <m/>
    <m/>
    <m/>
    <m/>
    <m/>
    <m/>
  </r>
  <r>
    <s v="tamtn"/>
    <x v="0"/>
    <x v="0"/>
    <x v="0"/>
    <s v="BD_TH0_01_00"/>
    <x v="8"/>
    <s v="AnhHT"/>
    <x v="0"/>
    <s v="tamtnBD_TH0_01_00"/>
    <m/>
    <m/>
    <m/>
    <m/>
    <m/>
    <m/>
    <m/>
    <m/>
    <m/>
    <m/>
    <m/>
    <m/>
    <m/>
    <m/>
    <m/>
    <m/>
    <m/>
    <m/>
    <m/>
    <m/>
    <m/>
    <m/>
    <m/>
    <m/>
    <m/>
    <m/>
    <m/>
    <m/>
    <m/>
    <m/>
    <m/>
    <m/>
    <m/>
    <m/>
    <m/>
    <m/>
    <m/>
    <m/>
    <m/>
    <m/>
    <m/>
    <m/>
    <m/>
    <m/>
    <m/>
    <m/>
    <m/>
    <m/>
    <m/>
    <m/>
    <m/>
    <m/>
  </r>
  <r>
    <s v="huyenttt"/>
    <x v="15"/>
    <x v="1"/>
    <x v="0"/>
    <s v="BD_TH0_01_00"/>
    <x v="8"/>
    <s v="AnhHT"/>
    <x v="0"/>
    <s v="huyentttBD_TH0_01_00"/>
    <n v="0.2"/>
    <n v="0.2"/>
    <n v="0.2"/>
    <m/>
    <n v="0.2"/>
    <n v="0.2"/>
    <m/>
    <m/>
    <n v="0.35"/>
    <n v="0.3"/>
    <n v="0.35"/>
    <n v="0.3"/>
    <n v="0.35"/>
    <n v="0.15"/>
    <n v="0.15"/>
    <n v="0.15"/>
    <n v="0.15"/>
    <n v="0.15"/>
    <n v="0.15"/>
    <n v="0.15"/>
    <n v="0.15"/>
    <n v="0.15"/>
    <n v="0.15"/>
    <n v="0.15"/>
    <n v="0.15"/>
    <n v="0.15"/>
    <m/>
    <m/>
    <m/>
    <m/>
    <m/>
    <m/>
    <m/>
    <m/>
    <m/>
    <m/>
    <m/>
    <m/>
    <m/>
    <m/>
    <m/>
    <m/>
    <m/>
    <m/>
    <m/>
    <m/>
    <m/>
    <m/>
    <m/>
    <m/>
    <m/>
    <m/>
  </r>
  <r>
    <s v="anhht"/>
    <x v="7"/>
    <x v="1"/>
    <x v="0"/>
    <s v="BD_TH0_01_00"/>
    <x v="8"/>
    <s v="AnhHT"/>
    <x v="0"/>
    <s v="anhhtBD_TH0_01_00"/>
    <m/>
    <n v="0.2"/>
    <n v="0.1"/>
    <n v="0.1"/>
    <n v="0.1"/>
    <m/>
    <m/>
    <n v="0.15"/>
    <n v="0.15"/>
    <n v="0.15"/>
    <n v="0.15"/>
    <n v="0.15"/>
    <n v="0.15"/>
    <m/>
    <m/>
    <m/>
    <m/>
    <m/>
    <m/>
    <m/>
    <m/>
    <m/>
    <m/>
    <m/>
    <m/>
    <m/>
    <m/>
    <m/>
    <m/>
    <m/>
    <m/>
    <m/>
    <m/>
    <m/>
    <m/>
    <m/>
    <m/>
    <m/>
    <m/>
    <m/>
    <m/>
    <m/>
    <m/>
    <m/>
    <m/>
    <m/>
    <m/>
    <m/>
    <m/>
    <m/>
    <m/>
    <m/>
  </r>
  <r>
    <s v="trangth"/>
    <x v="16"/>
    <x v="1"/>
    <x v="0"/>
    <s v="BD_BT0_01_00 "/>
    <x v="9"/>
    <s v="AnhHT"/>
    <x v="3"/>
    <s v="trangthBD_BT0_01_00 "/>
    <n v="0.7"/>
    <n v="0.7"/>
    <m/>
    <m/>
    <m/>
    <m/>
    <m/>
    <m/>
    <m/>
    <m/>
    <m/>
    <m/>
    <m/>
    <m/>
    <m/>
    <m/>
    <m/>
    <m/>
    <m/>
    <m/>
    <m/>
    <m/>
    <m/>
    <m/>
    <m/>
    <m/>
    <m/>
    <m/>
    <m/>
    <m/>
    <m/>
    <m/>
    <m/>
    <m/>
    <m/>
    <m/>
    <m/>
    <m/>
    <m/>
    <m/>
    <m/>
    <m/>
    <m/>
    <m/>
    <m/>
    <m/>
    <m/>
    <m/>
    <m/>
    <m/>
    <m/>
    <m/>
  </r>
  <r>
    <s v="anhht"/>
    <x v="7"/>
    <x v="1"/>
    <x v="0"/>
    <s v="BD_BT0_01_00 "/>
    <x v="9"/>
    <s v="AnhHT"/>
    <x v="3"/>
    <s v="anhhtBD_BT0_01_00 "/>
    <n v="0.6"/>
    <n v="0.5"/>
    <n v="0.1"/>
    <n v="0.1"/>
    <m/>
    <m/>
    <m/>
    <m/>
    <m/>
    <m/>
    <m/>
    <m/>
    <m/>
    <m/>
    <m/>
    <m/>
    <m/>
    <m/>
    <m/>
    <m/>
    <m/>
    <m/>
    <m/>
    <m/>
    <m/>
    <m/>
    <m/>
    <m/>
    <m/>
    <m/>
    <m/>
    <m/>
    <m/>
    <m/>
    <m/>
    <m/>
    <m/>
    <m/>
    <m/>
    <m/>
    <m/>
    <m/>
    <m/>
    <m/>
    <m/>
    <m/>
    <m/>
    <m/>
    <m/>
    <m/>
    <m/>
    <m/>
  </r>
  <r>
    <s v="tamtn"/>
    <x v="0"/>
    <x v="0"/>
    <x v="0"/>
    <s v="BD_BT0_01_00 "/>
    <x v="9"/>
    <s v="AnhHT"/>
    <x v="3"/>
    <s v="tamtnBD_BT0_01_00 "/>
    <m/>
    <m/>
    <m/>
    <m/>
    <m/>
    <m/>
    <m/>
    <m/>
    <n v="0.1"/>
    <n v="0.1"/>
    <n v="0.1"/>
    <n v="0.1"/>
    <n v="0.1"/>
    <n v="0.1"/>
    <n v="0.1"/>
    <n v="0.1"/>
    <n v="0.1"/>
    <n v="0.1"/>
    <n v="0.1"/>
    <n v="0.1"/>
    <n v="0.1"/>
    <n v="0.1"/>
    <n v="0.1"/>
    <n v="0.1"/>
    <n v="0.1"/>
    <n v="0.1"/>
    <m/>
    <m/>
    <m/>
    <m/>
    <m/>
    <m/>
    <m/>
    <m/>
    <m/>
    <m/>
    <m/>
    <m/>
    <m/>
    <m/>
    <m/>
    <m/>
    <m/>
    <m/>
    <m/>
    <m/>
    <m/>
    <m/>
    <m/>
    <m/>
    <m/>
    <m/>
  </r>
  <r>
    <s v="anhht"/>
    <x v="7"/>
    <x v="1"/>
    <x v="0"/>
    <s v="BB_VR1_02_00"/>
    <x v="10"/>
    <s v="AnhHT"/>
    <x v="3"/>
    <s v="anhhtBB_VR1_02_00"/>
    <m/>
    <m/>
    <n v="0.1"/>
    <n v="0.1"/>
    <n v="0.1"/>
    <n v="0.15"/>
    <m/>
    <m/>
    <m/>
    <m/>
    <n v="0.15"/>
    <n v="0.15"/>
    <m/>
    <m/>
    <n v="0.15"/>
    <n v="0.15"/>
    <m/>
    <m/>
    <n v="0.15"/>
    <n v="0.15"/>
    <m/>
    <m/>
    <n v="0.15"/>
    <n v="0.15"/>
    <m/>
    <m/>
    <m/>
    <m/>
    <m/>
    <m/>
    <m/>
    <m/>
    <m/>
    <m/>
    <m/>
    <m/>
    <m/>
    <m/>
    <m/>
    <m/>
    <m/>
    <m/>
    <m/>
    <m/>
    <m/>
    <m/>
    <m/>
    <m/>
    <m/>
    <m/>
    <m/>
    <m/>
  </r>
  <r>
    <s v="tungnt2"/>
    <x v="18"/>
    <x v="2"/>
    <x v="0"/>
    <s v="B_TDA_GD2"/>
    <x v="11"/>
    <s v="LamBH"/>
    <x v="1"/>
    <s v="tungnt2B_TDA_GD2"/>
    <m/>
    <m/>
    <m/>
    <m/>
    <m/>
    <m/>
    <m/>
    <n v="0.5"/>
    <n v="0.5"/>
    <n v="0.89"/>
    <n v="0.89"/>
    <n v="0.89"/>
    <n v="0.89"/>
    <n v="0.4"/>
    <n v="0.4"/>
    <n v="0.4"/>
    <n v="0.3"/>
    <n v="0.3"/>
    <n v="0.3"/>
    <n v="0.3"/>
    <n v="0.3"/>
    <n v="0.2"/>
    <n v="0.2"/>
    <n v="0.2"/>
    <n v="0.2"/>
    <n v="0.2"/>
    <m/>
    <m/>
    <m/>
    <m/>
    <m/>
    <m/>
    <m/>
    <m/>
    <m/>
    <m/>
    <m/>
    <m/>
    <m/>
    <m/>
    <m/>
    <m/>
    <m/>
    <m/>
    <m/>
    <m/>
    <m/>
    <m/>
    <m/>
    <m/>
    <m/>
    <m/>
  </r>
  <r>
    <s v="diennv"/>
    <x v="19"/>
    <x v="2"/>
    <x v="0"/>
    <s v="B_TDA_GD2"/>
    <x v="11"/>
    <s v="LamBH"/>
    <x v="1"/>
    <s v="diennvB_TDA_GD2"/>
    <m/>
    <m/>
    <m/>
    <m/>
    <m/>
    <m/>
    <m/>
    <m/>
    <m/>
    <m/>
    <m/>
    <m/>
    <m/>
    <n v="0.4"/>
    <n v="0.49"/>
    <n v="0.49"/>
    <n v="0.49"/>
    <n v="0.49"/>
    <n v="0.7"/>
    <n v="0.7"/>
    <n v="0.7"/>
    <n v="0.7"/>
    <n v="0.7"/>
    <n v="0.7"/>
    <n v="0.7"/>
    <n v="0.7"/>
    <m/>
    <m/>
    <m/>
    <m/>
    <m/>
    <m/>
    <m/>
    <m/>
    <m/>
    <m/>
    <m/>
    <m/>
    <m/>
    <m/>
    <m/>
    <m/>
    <m/>
    <m/>
    <m/>
    <m/>
    <m/>
    <m/>
    <m/>
    <m/>
    <m/>
    <m/>
  </r>
  <r>
    <s v="manhnk"/>
    <x v="20"/>
    <x v="2"/>
    <x v="0"/>
    <s v="B_TDA_GD2"/>
    <x v="11"/>
    <s v="LamBH"/>
    <x v="1"/>
    <s v="manhnkB_TDA_GD2"/>
    <m/>
    <m/>
    <m/>
    <m/>
    <m/>
    <m/>
    <m/>
    <m/>
    <m/>
    <m/>
    <m/>
    <m/>
    <m/>
    <n v="0.8"/>
    <n v="0.8"/>
    <n v="0.8"/>
    <n v="0.8"/>
    <n v="0.8"/>
    <n v="0.8"/>
    <n v="0.25"/>
    <n v="0.25"/>
    <n v="0.25"/>
    <n v="0.25"/>
    <n v="0.25"/>
    <n v="0.25"/>
    <n v="0.25"/>
    <m/>
    <m/>
    <m/>
    <m/>
    <m/>
    <m/>
    <m/>
    <m/>
    <m/>
    <m/>
    <m/>
    <m/>
    <m/>
    <m/>
    <m/>
    <m/>
    <m/>
    <m/>
    <m/>
    <m/>
    <m/>
    <m/>
    <m/>
    <m/>
    <m/>
    <m/>
  </r>
  <r>
    <s v="lambh"/>
    <x v="21"/>
    <x v="2"/>
    <x v="0"/>
    <s v="B_TDA_GD2"/>
    <x v="11"/>
    <s v="LamBH"/>
    <x v="1"/>
    <s v="lambhB_TDA_GD2"/>
    <m/>
    <m/>
    <m/>
    <m/>
    <m/>
    <m/>
    <m/>
    <n v="0.5"/>
    <n v="0.5"/>
    <n v="0.75"/>
    <n v="0.75"/>
    <n v="0.75"/>
    <n v="0.75"/>
    <n v="0.25"/>
    <n v="0.25"/>
    <n v="0.25"/>
    <n v="0.25"/>
    <n v="0.25"/>
    <n v="0.1"/>
    <n v="0.1"/>
    <n v="0.1"/>
    <n v="0.1"/>
    <n v="0.1"/>
    <m/>
    <m/>
    <m/>
    <m/>
    <m/>
    <m/>
    <m/>
    <m/>
    <m/>
    <m/>
    <m/>
    <m/>
    <m/>
    <m/>
    <m/>
    <m/>
    <m/>
    <m/>
    <m/>
    <m/>
    <m/>
    <m/>
    <m/>
    <m/>
    <m/>
    <m/>
    <m/>
    <m/>
    <m/>
  </r>
  <r>
    <s v="longlm"/>
    <x v="2"/>
    <x v="0"/>
    <x v="0"/>
    <s v="B_MB_QLDT"/>
    <x v="7"/>
    <s v="CongLC"/>
    <x v="0"/>
    <s v="longlmB_MB_QLDT"/>
    <m/>
    <m/>
    <m/>
    <m/>
    <m/>
    <m/>
    <m/>
    <n v="0"/>
    <n v="0"/>
    <n v="1"/>
    <n v="1"/>
    <n v="1"/>
    <n v="1"/>
    <n v="1"/>
    <n v="1"/>
    <n v="1"/>
    <n v="1"/>
    <n v="1"/>
    <n v="1"/>
    <n v="1"/>
    <n v="1"/>
    <n v="1"/>
    <n v="1"/>
    <n v="1"/>
    <n v="1"/>
    <n v="1"/>
    <m/>
    <m/>
    <m/>
    <m/>
    <m/>
    <m/>
    <m/>
    <m/>
    <m/>
    <m/>
    <m/>
    <m/>
    <m/>
    <m/>
    <m/>
    <m/>
    <m/>
    <m/>
    <m/>
    <m/>
    <m/>
    <m/>
    <m/>
    <m/>
    <m/>
    <m/>
  </r>
  <r>
    <s v="ngocdh"/>
    <x v="1"/>
    <x v="1"/>
    <x v="0"/>
    <s v="CD_MB0_01_00"/>
    <x v="12"/>
    <s v="NgocDH"/>
    <x v="4"/>
    <s v="ngocdhCD_MB0_01_00"/>
    <m/>
    <m/>
    <n v="0.7"/>
    <n v="0.7"/>
    <n v="0.8"/>
    <n v="0.8"/>
    <m/>
    <n v="0.8"/>
    <n v="0.9"/>
    <n v="0.9"/>
    <n v="0.9"/>
    <n v="0.9"/>
    <n v="0.9"/>
    <n v="0.9"/>
    <n v="0.9"/>
    <n v="0.9"/>
    <n v="0.9"/>
    <n v="0.9"/>
    <n v="0.9"/>
    <n v="0.9"/>
    <n v="0.9"/>
    <n v="0.9"/>
    <n v="0.9"/>
    <n v="0.9"/>
    <n v="0.9"/>
    <n v="0.9"/>
    <m/>
    <m/>
    <m/>
    <m/>
    <m/>
    <m/>
    <m/>
    <m/>
    <m/>
    <m/>
    <m/>
    <m/>
    <m/>
    <m/>
    <m/>
    <m/>
    <m/>
    <m/>
    <m/>
    <m/>
    <m/>
    <m/>
    <m/>
    <m/>
    <m/>
    <m/>
  </r>
  <r>
    <s v="trangth"/>
    <x v="16"/>
    <x v="1"/>
    <x v="0"/>
    <s v="CD_MB0_01_00"/>
    <x v="12"/>
    <s v="NgocDH"/>
    <x v="4"/>
    <s v="trangthCD_MB0_01_00"/>
    <m/>
    <m/>
    <n v="0.3"/>
    <n v="0.3"/>
    <n v="0.5"/>
    <n v="0.5"/>
    <m/>
    <n v="0.5"/>
    <n v="1"/>
    <n v="1"/>
    <n v="1"/>
    <n v="1"/>
    <n v="1"/>
    <n v="1"/>
    <n v="1"/>
    <n v="1"/>
    <n v="1"/>
    <n v="1"/>
    <n v="1"/>
    <n v="1"/>
    <n v="1"/>
    <n v="1"/>
    <n v="1"/>
    <n v="1"/>
    <n v="1"/>
    <n v="1"/>
    <m/>
    <m/>
    <m/>
    <m/>
    <m/>
    <m/>
    <m/>
    <m/>
    <m/>
    <m/>
    <m/>
    <m/>
    <m/>
    <m/>
    <m/>
    <m/>
    <m/>
    <m/>
    <m/>
    <m/>
    <m/>
    <m/>
    <m/>
    <m/>
    <m/>
    <m/>
  </r>
  <r>
    <s v="nhungnt2"/>
    <x v="8"/>
    <x v="0"/>
    <x v="0"/>
    <s v="CD_MB0_01_00"/>
    <x v="12"/>
    <s v="NgocDH"/>
    <x v="4"/>
    <s v="nhungnt2CD_MB0_01_00"/>
    <m/>
    <m/>
    <m/>
    <m/>
    <n v="0.4"/>
    <n v="1"/>
    <m/>
    <n v="1"/>
    <n v="1"/>
    <n v="1"/>
    <n v="1"/>
    <n v="1"/>
    <n v="1"/>
    <n v="1"/>
    <n v="1"/>
    <n v="1"/>
    <n v="1"/>
    <n v="1"/>
    <n v="1"/>
    <n v="1"/>
    <n v="1"/>
    <n v="1"/>
    <n v="1"/>
    <n v="1"/>
    <n v="1"/>
    <n v="1"/>
    <m/>
    <m/>
    <m/>
    <m/>
    <m/>
    <m/>
    <m/>
    <m/>
    <m/>
    <m/>
    <m/>
    <m/>
    <m/>
    <m/>
    <m/>
    <m/>
    <m/>
    <m/>
    <m/>
    <m/>
    <m/>
    <m/>
    <m/>
    <m/>
    <m/>
    <m/>
  </r>
  <r>
    <s v="phucld"/>
    <x v="17"/>
    <x v="0"/>
    <x v="0"/>
    <s v="CD_MB0_01_00"/>
    <x v="12"/>
    <s v="NgocDH"/>
    <x v="4"/>
    <s v="phucldCD_MB0_01_00"/>
    <n v="0.5"/>
    <n v="0.5"/>
    <n v="0.5"/>
    <n v="0.5"/>
    <n v="0.5"/>
    <n v="0.5"/>
    <m/>
    <n v="0.5"/>
    <n v="0.5"/>
    <n v="0.5"/>
    <n v="0.5"/>
    <n v="0.5"/>
    <n v="0.5"/>
    <n v="0.5"/>
    <n v="0.5"/>
    <n v="0.5"/>
    <n v="0.5"/>
    <n v="0.5"/>
    <n v="0.5"/>
    <n v="0.5"/>
    <n v="0.5"/>
    <n v="0.5"/>
    <n v="0.5"/>
    <n v="0.5"/>
    <n v="0.5"/>
    <n v="0.5"/>
    <m/>
    <m/>
    <m/>
    <m/>
    <m/>
    <m/>
    <m/>
    <m/>
    <m/>
    <m/>
    <m/>
    <m/>
    <m/>
    <m/>
    <m/>
    <m/>
    <m/>
    <m/>
    <m/>
    <m/>
    <m/>
    <m/>
    <m/>
    <m/>
    <m/>
    <m/>
  </r>
  <r>
    <s v="conglc"/>
    <x v="3"/>
    <x v="0"/>
    <x v="0"/>
    <s v="CD_MB0_01_00"/>
    <x v="12"/>
    <s v="NgocDH"/>
    <x v="4"/>
    <s v="conglcCD_MB0_01_00"/>
    <n v="0.2"/>
    <n v="0.2"/>
    <n v="0.3"/>
    <n v="0.3"/>
    <n v="0.3"/>
    <n v="0.3"/>
    <m/>
    <n v="0.5"/>
    <n v="0.5"/>
    <n v="0.5"/>
    <n v="0.5"/>
    <n v="0.5"/>
    <n v="0.5"/>
    <n v="0.5"/>
    <n v="0.5"/>
    <n v="0.5"/>
    <n v="0.5"/>
    <n v="0.5"/>
    <n v="0.5"/>
    <n v="0.5"/>
    <n v="0.5"/>
    <n v="0.5"/>
    <n v="0.5"/>
    <n v="0.5"/>
    <n v="0.5"/>
    <n v="0.5"/>
    <m/>
    <m/>
    <m/>
    <m/>
    <m/>
    <m/>
    <m/>
    <m/>
    <m/>
    <m/>
    <m/>
    <m/>
    <m/>
    <m/>
    <m/>
    <m/>
    <m/>
    <m/>
    <m/>
    <m/>
    <m/>
    <m/>
    <m/>
    <m/>
    <m/>
    <m/>
  </r>
  <r>
    <s v="tanhm"/>
    <x v="13"/>
    <x v="1"/>
    <x v="0"/>
    <s v="CD_MB0_01_00"/>
    <x v="12"/>
    <s v="NgocDH"/>
    <x v="4"/>
    <s v="tanhmCD_MB0_01_00"/>
    <m/>
    <m/>
    <m/>
    <m/>
    <n v="0.5"/>
    <n v="0.5"/>
    <m/>
    <n v="0.5"/>
    <n v="0.5"/>
    <m/>
    <m/>
    <m/>
    <m/>
    <m/>
    <m/>
    <m/>
    <m/>
    <m/>
    <m/>
    <m/>
    <m/>
    <m/>
    <m/>
    <m/>
    <m/>
    <m/>
    <m/>
    <m/>
    <m/>
    <m/>
    <m/>
    <m/>
    <m/>
    <m/>
    <m/>
    <m/>
    <m/>
    <m/>
    <m/>
    <m/>
    <m/>
    <m/>
    <m/>
    <m/>
    <m/>
    <m/>
    <m/>
    <m/>
    <m/>
    <m/>
    <m/>
    <m/>
  </r>
  <r>
    <s v="phatnl"/>
    <x v="14"/>
    <x v="1"/>
    <x v="0"/>
    <s v="BD_TC0_01_00"/>
    <x v="13"/>
    <s v="HaiDL"/>
    <x v="1"/>
    <s v="phatnlBD_TC0_01_00"/>
    <n v="0.3"/>
    <n v="0.3"/>
    <n v="0.1"/>
    <n v="0"/>
    <n v="0"/>
    <n v="0"/>
    <m/>
    <n v="0"/>
    <n v="0"/>
    <n v="0"/>
    <n v="0"/>
    <n v="0"/>
    <n v="0"/>
    <n v="0"/>
    <n v="0"/>
    <n v="0"/>
    <n v="0"/>
    <n v="0"/>
    <n v="0"/>
    <n v="0"/>
    <n v="0"/>
    <n v="0"/>
    <n v="0"/>
    <n v="0"/>
    <n v="0"/>
    <n v="0"/>
    <m/>
    <m/>
    <m/>
    <m/>
    <m/>
    <m/>
    <m/>
    <m/>
    <m/>
    <m/>
    <m/>
    <m/>
    <m/>
    <m/>
    <m/>
    <m/>
    <m/>
    <m/>
    <m/>
    <m/>
    <m/>
    <m/>
    <m/>
    <m/>
    <m/>
    <m/>
  </r>
  <r>
    <s v="tungnt2"/>
    <x v="18"/>
    <x v="2"/>
    <x v="0"/>
    <s v="RD_OR0_01_00"/>
    <x v="14"/>
    <s v="LamBH"/>
    <x v="0"/>
    <s v="tungnt2RD_OR0_01_00"/>
    <m/>
    <m/>
    <n v="0.7"/>
    <n v="0.7"/>
    <n v="0.7"/>
    <n v="0.2"/>
    <m/>
    <n v="0.2"/>
    <n v="0.2"/>
    <m/>
    <m/>
    <m/>
    <m/>
    <m/>
    <m/>
    <m/>
    <m/>
    <m/>
    <m/>
    <m/>
    <m/>
    <m/>
    <m/>
    <m/>
    <m/>
    <m/>
    <m/>
    <m/>
    <m/>
    <m/>
    <m/>
    <m/>
    <m/>
    <m/>
    <m/>
    <m/>
    <m/>
    <m/>
    <m/>
    <m/>
    <m/>
    <m/>
    <m/>
    <m/>
    <m/>
    <m/>
    <m/>
    <m/>
    <m/>
    <m/>
    <m/>
    <m/>
  </r>
  <r>
    <s v="lambh"/>
    <x v="21"/>
    <x v="2"/>
    <x v="0"/>
    <s v="RD_OR0_01_00"/>
    <x v="14"/>
    <s v="LamBH"/>
    <x v="0"/>
    <s v="lambhRD_OR0_01_00"/>
    <m/>
    <m/>
    <n v="0.3"/>
    <n v="0.2"/>
    <n v="0.2"/>
    <m/>
    <m/>
    <m/>
    <m/>
    <m/>
    <m/>
    <m/>
    <m/>
    <m/>
    <m/>
    <m/>
    <m/>
    <m/>
    <m/>
    <m/>
    <m/>
    <m/>
    <m/>
    <m/>
    <m/>
    <m/>
    <m/>
    <m/>
    <m/>
    <m/>
    <m/>
    <m/>
    <m/>
    <m/>
    <m/>
    <m/>
    <m/>
    <m/>
    <m/>
    <m/>
    <m/>
    <m/>
    <m/>
    <m/>
    <m/>
    <m/>
    <m/>
    <m/>
    <m/>
    <m/>
    <m/>
    <m/>
  </r>
  <r>
    <s v="phatnl"/>
    <x v="14"/>
    <x v="1"/>
    <x v="0"/>
    <s v="Presale"/>
    <x v="15"/>
    <s v="HaiDL"/>
    <x v="5"/>
    <s v="phatnlPresale"/>
    <n v="0"/>
    <n v="0"/>
    <n v="0.2"/>
    <n v="0.2"/>
    <n v="0.2"/>
    <n v="0.2"/>
    <m/>
    <n v="0.1"/>
    <n v="0.3"/>
    <n v="0.3"/>
    <n v="0.3"/>
    <n v="0.1"/>
    <n v="0.1"/>
    <n v="0.1"/>
    <n v="0.1"/>
    <n v="0.1"/>
    <n v="0.1"/>
    <n v="0.1"/>
    <n v="0.1"/>
    <n v="0.1"/>
    <n v="0.1"/>
    <n v="0.1"/>
    <n v="0.1"/>
    <n v="0.1"/>
    <n v="0.1"/>
    <n v="0.1"/>
    <m/>
    <m/>
    <m/>
    <m/>
    <m/>
    <m/>
    <m/>
    <m/>
    <m/>
    <m/>
    <m/>
    <m/>
    <m/>
    <m/>
    <m/>
    <m/>
    <m/>
    <m/>
    <m/>
    <m/>
    <m/>
    <m/>
    <m/>
    <m/>
    <m/>
    <m/>
  </r>
  <r>
    <s v="vinhpq"/>
    <x v="22"/>
    <x v="2"/>
    <x v="0"/>
    <s v="RD_TH0_01_00"/>
    <x v="16"/>
    <s v="LamBH"/>
    <x v="0"/>
    <s v="vinhpqRD_TH0_01_00"/>
    <m/>
    <m/>
    <n v="0.1"/>
    <n v="0.1"/>
    <n v="0.1"/>
    <m/>
    <m/>
    <m/>
    <n v="0.02"/>
    <n v="0.02"/>
    <n v="0.02"/>
    <n v="0.02"/>
    <n v="0.02"/>
    <n v="0.02"/>
    <n v="0.02"/>
    <n v="0.02"/>
    <n v="0.02"/>
    <n v="0.02"/>
    <n v="0.02"/>
    <n v="0.02"/>
    <n v="0.02"/>
    <n v="0.02"/>
    <n v="0.02"/>
    <n v="0.02"/>
    <n v="0.02"/>
    <n v="0.02"/>
    <m/>
    <m/>
    <m/>
    <m/>
    <m/>
    <m/>
    <m/>
    <m/>
    <m/>
    <m/>
    <m/>
    <m/>
    <m/>
    <m/>
    <m/>
    <m/>
    <m/>
    <m/>
    <m/>
    <m/>
    <m/>
    <m/>
    <m/>
    <m/>
    <m/>
    <m/>
  </r>
  <r>
    <s v="longvd"/>
    <x v="23"/>
    <x v="2"/>
    <x v="0"/>
    <s v="RD_TH0_01_00"/>
    <x v="16"/>
    <s v="LamBH"/>
    <x v="0"/>
    <s v="longvdRD_TH0_01_00"/>
    <m/>
    <m/>
    <n v="0.5"/>
    <n v="0.1"/>
    <m/>
    <m/>
    <m/>
    <m/>
    <m/>
    <m/>
    <m/>
    <m/>
    <m/>
    <m/>
    <m/>
    <m/>
    <m/>
    <m/>
    <m/>
    <m/>
    <m/>
    <m/>
    <m/>
    <m/>
    <m/>
    <m/>
    <m/>
    <m/>
    <m/>
    <m/>
    <m/>
    <m/>
    <m/>
    <m/>
    <m/>
    <m/>
    <m/>
    <m/>
    <m/>
    <m/>
    <m/>
    <m/>
    <m/>
    <m/>
    <m/>
    <m/>
    <m/>
    <m/>
    <m/>
    <m/>
    <m/>
    <m/>
  </r>
  <r>
    <s v="vinhpq"/>
    <x v="22"/>
    <x v="2"/>
    <x v="0"/>
    <s v="BD_BW0_01_00"/>
    <x v="17"/>
    <s v="AnhHT"/>
    <x v="0"/>
    <s v="vinhpqBD_BW0_01_00"/>
    <m/>
    <m/>
    <m/>
    <m/>
    <m/>
    <m/>
    <m/>
    <n v="0.7"/>
    <n v="0.66"/>
    <n v="0.9"/>
    <n v="0.9"/>
    <n v="0.9"/>
    <n v="0.9"/>
    <n v="0.5"/>
    <n v="0.5"/>
    <n v="0.5"/>
    <n v="0.5"/>
    <n v="0.1"/>
    <n v="0.1"/>
    <n v="0.1"/>
    <n v="0.1"/>
    <n v="0.1"/>
    <n v="0.1"/>
    <n v="0.1"/>
    <n v="0.1"/>
    <n v="0.1"/>
    <m/>
    <m/>
    <m/>
    <m/>
    <m/>
    <m/>
    <m/>
    <m/>
    <m/>
    <m/>
    <m/>
    <m/>
    <m/>
    <m/>
    <m/>
    <m/>
    <m/>
    <m/>
    <m/>
    <m/>
    <m/>
    <m/>
    <m/>
    <m/>
    <m/>
    <m/>
  </r>
  <r>
    <s v="phatnl"/>
    <x v="14"/>
    <x v="1"/>
    <x v="0"/>
    <s v="BD_BW0_01_00"/>
    <x v="17"/>
    <s v="AnhHT"/>
    <x v="0"/>
    <s v="phatnlBD_BW0_01_00"/>
    <n v="0.5"/>
    <n v="0.5"/>
    <n v="0.5"/>
    <n v="0.5"/>
    <n v="0.6"/>
    <n v="0.3"/>
    <m/>
    <n v="0.3"/>
    <n v="0.4"/>
    <n v="0.3"/>
    <n v="0.4"/>
    <n v="0.4"/>
    <n v="0.3"/>
    <n v="0.3"/>
    <n v="0.3"/>
    <n v="0.3"/>
    <n v="0.3"/>
    <n v="0.3"/>
    <n v="0.3"/>
    <n v="0.3"/>
    <n v="0.3"/>
    <n v="0.3"/>
    <n v="0.3"/>
    <n v="0.3"/>
    <n v="0.3"/>
    <n v="0.3"/>
    <m/>
    <m/>
    <m/>
    <m/>
    <m/>
    <m/>
    <m/>
    <m/>
    <m/>
    <m/>
    <m/>
    <m/>
    <m/>
    <m/>
    <m/>
    <m/>
    <m/>
    <m/>
    <m/>
    <m/>
    <m/>
    <m/>
    <m/>
    <m/>
    <m/>
    <m/>
  </r>
  <r>
    <s v="manhnk"/>
    <x v="20"/>
    <x v="2"/>
    <x v="0"/>
    <s v="BD_BW0_01_00"/>
    <x v="17"/>
    <s v="AnhHT"/>
    <x v="0"/>
    <s v="manhnkBD_BW0_01_00"/>
    <m/>
    <m/>
    <n v="0.5"/>
    <n v="0.7"/>
    <n v="0.7"/>
    <n v="0.7"/>
    <m/>
    <n v="0.7"/>
    <n v="0.9"/>
    <n v="0.9"/>
    <n v="0.9"/>
    <n v="0.9"/>
    <n v="0.9"/>
    <m/>
    <m/>
    <m/>
    <m/>
    <m/>
    <m/>
    <m/>
    <m/>
    <m/>
    <m/>
    <m/>
    <m/>
    <m/>
    <m/>
    <m/>
    <m/>
    <m/>
    <m/>
    <m/>
    <m/>
    <m/>
    <m/>
    <m/>
    <m/>
    <m/>
    <m/>
    <m/>
    <m/>
    <m/>
    <m/>
    <m/>
    <m/>
    <m/>
    <m/>
    <m/>
    <m/>
    <m/>
    <m/>
    <m/>
  </r>
  <r>
    <s v="longvd"/>
    <x v="23"/>
    <x v="2"/>
    <x v="0"/>
    <s v="BD_BW0_01_00"/>
    <x v="17"/>
    <s v="AnhHT"/>
    <x v="0"/>
    <s v="longvdBD_BW0_01_00"/>
    <m/>
    <m/>
    <n v="0.3"/>
    <n v="0.7"/>
    <n v="0.7"/>
    <n v="0.7"/>
    <m/>
    <n v="0.7"/>
    <n v="0.9"/>
    <n v="0.9"/>
    <n v="0.9"/>
    <n v="0.9"/>
    <n v="0.9"/>
    <m/>
    <m/>
    <m/>
    <m/>
    <m/>
    <m/>
    <m/>
    <m/>
    <m/>
    <m/>
    <m/>
    <m/>
    <m/>
    <m/>
    <m/>
    <m/>
    <m/>
    <m/>
    <m/>
    <m/>
    <m/>
    <m/>
    <m/>
    <m/>
    <m/>
    <m/>
    <m/>
    <m/>
    <m/>
    <m/>
    <m/>
    <m/>
    <m/>
    <m/>
    <m/>
    <m/>
    <m/>
    <m/>
    <m/>
  </r>
  <r>
    <s v="lambh"/>
    <x v="21"/>
    <x v="2"/>
    <x v="0"/>
    <s v="BD_BW0_01_00"/>
    <x v="17"/>
    <s v="AnhHT"/>
    <x v="0"/>
    <s v="lambhBD_BW0_01_00"/>
    <m/>
    <m/>
    <n v="0.2"/>
    <n v="0.5"/>
    <n v="0.3"/>
    <n v="0.2"/>
    <m/>
    <n v="0.2"/>
    <n v="0.2"/>
    <n v="0.2"/>
    <n v="0.2"/>
    <n v="0.2"/>
    <n v="0.2"/>
    <m/>
    <m/>
    <m/>
    <m/>
    <m/>
    <m/>
    <m/>
    <m/>
    <m/>
    <m/>
    <m/>
    <m/>
    <m/>
    <m/>
    <m/>
    <m/>
    <m/>
    <m/>
    <m/>
    <m/>
    <m/>
    <m/>
    <m/>
    <m/>
    <m/>
    <m/>
    <m/>
    <m/>
    <m/>
    <m/>
    <m/>
    <m/>
    <m/>
    <m/>
    <m/>
    <m/>
    <m/>
    <m/>
    <m/>
  </r>
  <r>
    <s v="huyenttt"/>
    <x v="15"/>
    <x v="1"/>
    <x v="0"/>
    <s v="BD_BW0_01_00"/>
    <x v="17"/>
    <s v="AnhHT"/>
    <x v="0"/>
    <s v="huyentttBD_BW0_01_00"/>
    <n v="0.35"/>
    <n v="0.35"/>
    <n v="0.4"/>
    <n v="0.4"/>
    <n v="0.4"/>
    <n v="0.4"/>
    <m/>
    <n v="0.4"/>
    <n v="0.35"/>
    <n v="0.35"/>
    <n v="0.35"/>
    <n v="0.35"/>
    <n v="0.35"/>
    <n v="0.35"/>
    <n v="0.35"/>
    <n v="0.35"/>
    <n v="0.35"/>
    <n v="0.35"/>
    <n v="0.35"/>
    <n v="0.35"/>
    <n v="0.35"/>
    <n v="0.35"/>
    <n v="0.35"/>
    <n v="0.35"/>
    <n v="0.35"/>
    <n v="0.35"/>
    <m/>
    <m/>
    <m/>
    <m/>
    <m/>
    <m/>
    <m/>
    <m/>
    <m/>
    <m/>
    <m/>
    <m/>
    <m/>
    <m/>
    <m/>
    <m/>
    <m/>
    <m/>
    <m/>
    <m/>
    <m/>
    <m/>
    <m/>
    <m/>
    <m/>
    <m/>
  </r>
  <r>
    <s v="giangntt"/>
    <x v="24"/>
    <x v="0"/>
    <x v="0"/>
    <s v="BD_BW0_01_00"/>
    <x v="17"/>
    <s v="AnhHT"/>
    <x v="0"/>
    <s v="giangnttBD_BW0_01_00"/>
    <n v="1"/>
    <n v="1"/>
    <n v="1"/>
    <n v="1"/>
    <n v="1"/>
    <n v="1"/>
    <m/>
    <n v="1"/>
    <n v="1"/>
    <n v="1"/>
    <n v="1"/>
    <n v="1"/>
    <n v="1"/>
    <n v="0.6"/>
    <n v="0.6"/>
    <n v="0.6"/>
    <n v="0.6"/>
    <n v="0.6"/>
    <n v="0.6"/>
    <n v="0.6"/>
    <n v="0.6"/>
    <n v="0.5"/>
    <n v="0.5"/>
    <n v="0.5"/>
    <n v="0.5"/>
    <n v="0.5"/>
    <m/>
    <m/>
    <m/>
    <m/>
    <m/>
    <m/>
    <m/>
    <m/>
    <m/>
    <m/>
    <m/>
    <m/>
    <m/>
    <m/>
    <m/>
    <m/>
    <m/>
    <m/>
    <m/>
    <m/>
    <m/>
    <m/>
    <m/>
    <m/>
    <m/>
    <m/>
  </r>
  <r>
    <s v="ducna"/>
    <x v="25"/>
    <x v="2"/>
    <x v="2"/>
    <s v="BD_BW0_01_00"/>
    <x v="17"/>
    <s v="AnhHT"/>
    <x v="0"/>
    <s v="ducnaBD_BW0_01_00"/>
    <m/>
    <m/>
    <n v="1"/>
    <n v="1"/>
    <n v="1"/>
    <n v="1"/>
    <m/>
    <n v="1"/>
    <n v="1"/>
    <n v="1"/>
    <n v="1"/>
    <n v="1"/>
    <n v="1"/>
    <m/>
    <m/>
    <m/>
    <m/>
    <m/>
    <m/>
    <m/>
    <m/>
    <m/>
    <m/>
    <m/>
    <m/>
    <m/>
    <m/>
    <m/>
    <m/>
    <m/>
    <m/>
    <m/>
    <m/>
    <m/>
    <m/>
    <m/>
    <m/>
    <m/>
    <m/>
    <m/>
    <m/>
    <m/>
    <m/>
    <m/>
    <m/>
    <m/>
    <m/>
    <m/>
    <m/>
    <m/>
    <m/>
    <m/>
  </r>
  <r>
    <s v="diennv"/>
    <x v="19"/>
    <x v="2"/>
    <x v="0"/>
    <s v="BD_BW0_01_00"/>
    <x v="17"/>
    <s v="AnhHT"/>
    <x v="0"/>
    <s v="diennvBD_BW0_01_00"/>
    <m/>
    <m/>
    <n v="0.1"/>
    <n v="0.2"/>
    <n v="0.3"/>
    <n v="0.5"/>
    <m/>
    <n v="0.3"/>
    <n v="0.8"/>
    <n v="0.8"/>
    <n v="0.8"/>
    <n v="0.8"/>
    <n v="0.8"/>
    <n v="0.5"/>
    <n v="0.49"/>
    <n v="0.49"/>
    <n v="0.49"/>
    <n v="0.49"/>
    <n v="0.2"/>
    <n v="0.2"/>
    <n v="0.2"/>
    <n v="0.2"/>
    <n v="0.2"/>
    <n v="0.2"/>
    <n v="0.2"/>
    <n v="0.2"/>
    <m/>
    <m/>
    <m/>
    <m/>
    <m/>
    <m/>
    <m/>
    <m/>
    <m/>
    <m/>
    <m/>
    <m/>
    <m/>
    <m/>
    <m/>
    <m/>
    <m/>
    <m/>
    <m/>
    <m/>
    <m/>
    <m/>
    <m/>
    <m/>
    <m/>
    <m/>
  </r>
  <r>
    <s v="conglc"/>
    <x v="3"/>
    <x v="0"/>
    <x v="0"/>
    <s v="BD_BW0_01_00"/>
    <x v="17"/>
    <s v="AnhHT"/>
    <x v="0"/>
    <s v="conglcBD_BW0_01_00"/>
    <n v="0.3"/>
    <m/>
    <n v="0.2"/>
    <n v="0.25"/>
    <n v="0.3"/>
    <m/>
    <m/>
    <m/>
    <m/>
    <m/>
    <m/>
    <m/>
    <m/>
    <m/>
    <m/>
    <m/>
    <m/>
    <m/>
    <m/>
    <m/>
    <m/>
    <m/>
    <m/>
    <m/>
    <m/>
    <m/>
    <m/>
    <m/>
    <m/>
    <m/>
    <m/>
    <m/>
    <m/>
    <m/>
    <m/>
    <m/>
    <m/>
    <m/>
    <m/>
    <m/>
    <m/>
    <m/>
    <m/>
    <m/>
    <m/>
    <m/>
    <m/>
    <m/>
    <m/>
    <m/>
    <m/>
    <m/>
  </r>
  <r>
    <s v="anhht"/>
    <x v="7"/>
    <x v="1"/>
    <x v="0"/>
    <s v="BD_BW0_01_00"/>
    <x v="17"/>
    <s v="AnhHT"/>
    <x v="0"/>
    <s v="anhhtBD_BW0_01_00"/>
    <n v="0.4"/>
    <n v="0.3"/>
    <n v="0.4"/>
    <n v="0.4"/>
    <n v="0.4"/>
    <n v="0.3"/>
    <m/>
    <n v="0.35"/>
    <n v="0.25"/>
    <n v="0.25"/>
    <n v="0.25"/>
    <n v="0.25"/>
    <n v="0.25"/>
    <n v="0.3"/>
    <n v="0.3"/>
    <n v="0.3"/>
    <n v="0.3"/>
    <n v="0.3"/>
    <n v="0.3"/>
    <n v="0.3"/>
    <n v="0.3"/>
    <n v="0.3"/>
    <n v="0.3"/>
    <n v="0.3"/>
    <n v="0.3"/>
    <n v="0.3"/>
    <m/>
    <m/>
    <m/>
    <m/>
    <m/>
    <m/>
    <m/>
    <m/>
    <m/>
    <m/>
    <m/>
    <m/>
    <m/>
    <m/>
    <m/>
    <m/>
    <m/>
    <m/>
    <m/>
    <m/>
    <m/>
    <m/>
    <m/>
    <m/>
    <m/>
    <m/>
  </r>
  <r>
    <s v="vinhpq"/>
    <x v="22"/>
    <x v="2"/>
    <x v="0"/>
    <s v="NB_CHAMCONG"/>
    <x v="18"/>
    <s v="LamBH"/>
    <x v="5"/>
    <s v="vinhpqNB_CHAMCONG"/>
    <m/>
    <m/>
    <n v="0.6"/>
    <n v="0.8"/>
    <n v="0.8"/>
    <n v="0.6"/>
    <m/>
    <n v="0.3"/>
    <n v="0.3"/>
    <m/>
    <m/>
    <m/>
    <m/>
    <m/>
    <m/>
    <m/>
    <m/>
    <m/>
    <m/>
    <m/>
    <m/>
    <m/>
    <m/>
    <m/>
    <m/>
    <m/>
    <m/>
    <m/>
    <m/>
    <m/>
    <m/>
    <m/>
    <m/>
    <m/>
    <m/>
    <m/>
    <m/>
    <m/>
    <m/>
    <m/>
    <m/>
    <m/>
    <m/>
    <m/>
    <m/>
    <m/>
    <m/>
    <m/>
    <m/>
    <m/>
    <m/>
    <m/>
  </r>
  <r>
    <s v="manhnk"/>
    <x v="20"/>
    <x v="2"/>
    <x v="0"/>
    <s v="NB_CHAMCONG"/>
    <x v="18"/>
    <s v="LamBH"/>
    <x v="5"/>
    <s v="manhnkNB_CHAMCONG"/>
    <m/>
    <m/>
    <m/>
    <m/>
    <m/>
    <m/>
    <m/>
    <m/>
    <m/>
    <m/>
    <m/>
    <m/>
    <m/>
    <m/>
    <m/>
    <m/>
    <m/>
    <m/>
    <m/>
    <m/>
    <m/>
    <m/>
    <m/>
    <m/>
    <m/>
    <m/>
    <m/>
    <m/>
    <m/>
    <m/>
    <m/>
    <m/>
    <m/>
    <m/>
    <m/>
    <m/>
    <m/>
    <m/>
    <m/>
    <m/>
    <m/>
    <m/>
    <m/>
    <m/>
    <m/>
    <m/>
    <m/>
    <m/>
    <m/>
    <m/>
    <m/>
    <m/>
  </r>
  <r>
    <s v="longvd"/>
    <x v="23"/>
    <x v="2"/>
    <x v="0"/>
    <s v="NB_CHAMCONG"/>
    <x v="18"/>
    <s v="LamBH"/>
    <x v="5"/>
    <s v="longvdNB_CHAMCONG"/>
    <m/>
    <m/>
    <n v="0.1"/>
    <n v="0.1"/>
    <n v="0.1"/>
    <m/>
    <m/>
    <m/>
    <m/>
    <m/>
    <m/>
    <m/>
    <m/>
    <m/>
    <m/>
    <m/>
    <m/>
    <m/>
    <m/>
    <m/>
    <m/>
    <m/>
    <m/>
    <m/>
    <m/>
    <m/>
    <m/>
    <m/>
    <m/>
    <m/>
    <m/>
    <m/>
    <m/>
    <m/>
    <m/>
    <m/>
    <m/>
    <m/>
    <m/>
    <m/>
    <m/>
    <m/>
    <m/>
    <m/>
    <m/>
    <m/>
    <m/>
    <m/>
    <m/>
    <m/>
    <m/>
    <m/>
  </r>
  <r>
    <s v="lambh"/>
    <x v="21"/>
    <x v="2"/>
    <x v="0"/>
    <s v="NB_CHAMCONG"/>
    <x v="18"/>
    <s v="LamBH"/>
    <x v="5"/>
    <s v="lambhNB_CHAMCONG"/>
    <m/>
    <m/>
    <n v="0.3"/>
    <n v="0.1"/>
    <n v="0.1"/>
    <n v="0.1"/>
    <m/>
    <n v="0.1"/>
    <n v="0.1"/>
    <m/>
    <m/>
    <m/>
    <m/>
    <m/>
    <m/>
    <m/>
    <m/>
    <m/>
    <m/>
    <m/>
    <m/>
    <m/>
    <m/>
    <m/>
    <m/>
    <m/>
    <m/>
    <m/>
    <m/>
    <m/>
    <m/>
    <m/>
    <m/>
    <m/>
    <m/>
    <m/>
    <m/>
    <m/>
    <m/>
    <m/>
    <m/>
    <m/>
    <m/>
    <m/>
    <m/>
    <m/>
    <m/>
    <m/>
    <m/>
    <m/>
    <m/>
    <m/>
  </r>
  <r>
    <s v="huyenttt"/>
    <x v="15"/>
    <x v="1"/>
    <x v="0"/>
    <s v="NB_CHAMCONG"/>
    <x v="18"/>
    <s v="LamBH"/>
    <x v="5"/>
    <s v="huyentttNB_CHAMCONG"/>
    <m/>
    <n v="0.45"/>
    <n v="0.4"/>
    <n v="0.4"/>
    <n v="0.4"/>
    <n v="0.4"/>
    <m/>
    <n v="0.6"/>
    <n v="0.3"/>
    <n v="0.3"/>
    <n v="0.3"/>
    <n v="0.3"/>
    <n v="0.3"/>
    <m/>
    <m/>
    <m/>
    <m/>
    <m/>
    <m/>
    <m/>
    <m/>
    <m/>
    <m/>
    <m/>
    <m/>
    <m/>
    <m/>
    <m/>
    <m/>
    <m/>
    <m/>
    <m/>
    <m/>
    <m/>
    <m/>
    <m/>
    <m/>
    <m/>
    <m/>
    <m/>
    <m/>
    <m/>
    <m/>
    <m/>
    <m/>
    <m/>
    <m/>
    <m/>
    <m/>
    <m/>
    <m/>
    <m/>
  </r>
  <r>
    <s v="diennv"/>
    <x v="19"/>
    <x v="2"/>
    <x v="0"/>
    <s v="NB_CHAMCONG"/>
    <x v="18"/>
    <s v="LamBH"/>
    <x v="5"/>
    <s v="diennvNB_CHAMCONG"/>
    <m/>
    <m/>
    <n v="0.7"/>
    <n v="0.8"/>
    <n v="0.7"/>
    <n v="0.2"/>
    <m/>
    <n v="0.2"/>
    <n v="0.1"/>
    <m/>
    <m/>
    <m/>
    <m/>
    <m/>
    <m/>
    <m/>
    <m/>
    <m/>
    <m/>
    <m/>
    <m/>
    <m/>
    <m/>
    <m/>
    <m/>
    <m/>
    <m/>
    <m/>
    <m/>
    <m/>
    <m/>
    <m/>
    <m/>
    <m/>
    <m/>
    <m/>
    <m/>
    <m/>
    <m/>
    <m/>
    <m/>
    <m/>
    <m/>
    <m/>
    <m/>
    <m/>
    <m/>
    <m/>
    <m/>
    <m/>
    <m/>
    <m/>
  </r>
  <r>
    <s v="anhht"/>
    <x v="7"/>
    <x v="1"/>
    <x v="0"/>
    <s v="NB_CHAMCONG"/>
    <x v="18"/>
    <s v="LamBH"/>
    <x v="5"/>
    <s v="anhhtNB_CHAMCONG"/>
    <m/>
    <m/>
    <m/>
    <m/>
    <m/>
    <n v="0.15"/>
    <m/>
    <n v="0.15"/>
    <n v="0.15"/>
    <n v="0.15"/>
    <m/>
    <m/>
    <m/>
    <m/>
    <m/>
    <m/>
    <m/>
    <m/>
    <m/>
    <m/>
    <m/>
    <m/>
    <m/>
    <m/>
    <m/>
    <m/>
    <m/>
    <m/>
    <m/>
    <m/>
    <m/>
    <m/>
    <m/>
    <m/>
    <m/>
    <m/>
    <m/>
    <m/>
    <m/>
    <m/>
    <m/>
    <m/>
    <m/>
    <m/>
    <m/>
    <m/>
    <m/>
    <m/>
    <m/>
    <m/>
    <m/>
    <m/>
  </r>
  <r>
    <s v="anhht"/>
    <x v="7"/>
    <x v="1"/>
    <x v="0"/>
    <s v="BD_SU0_01_00"/>
    <x v="19"/>
    <s v="AnhHT"/>
    <x v="4"/>
    <s v="anhhtBD_SU0_01_00"/>
    <m/>
    <m/>
    <m/>
    <m/>
    <m/>
    <n v="0.15"/>
    <m/>
    <n v="0.15"/>
    <n v="0.15"/>
    <n v="0.15"/>
    <n v="0.15"/>
    <n v="0.3"/>
    <n v="0.3"/>
    <n v="0.15"/>
    <n v="0.15"/>
    <n v="0.15"/>
    <n v="0.15"/>
    <n v="0.15"/>
    <n v="0.15"/>
    <n v="0.15"/>
    <n v="0.15"/>
    <n v="0.15"/>
    <n v="0.15"/>
    <n v="0.15"/>
    <n v="0.15"/>
    <n v="0.15"/>
    <m/>
    <m/>
    <m/>
    <m/>
    <m/>
    <m/>
    <m/>
    <m/>
    <m/>
    <m/>
    <m/>
    <m/>
    <m/>
    <m/>
    <m/>
    <m/>
    <m/>
    <m/>
    <m/>
    <m/>
    <m/>
    <m/>
    <m/>
    <m/>
    <m/>
    <m/>
  </r>
  <r>
    <s v="lamnv"/>
    <x v="5"/>
    <x v="0"/>
    <x v="0"/>
    <s v="BD_SU0_01_00"/>
    <x v="19"/>
    <s v="AnhHT"/>
    <x v="4"/>
    <s v="lamnvBD_SU0_01_00"/>
    <m/>
    <m/>
    <m/>
    <m/>
    <m/>
    <m/>
    <m/>
    <n v="0.15"/>
    <n v="0.3"/>
    <n v="0.3"/>
    <n v="0.2"/>
    <n v="0.2"/>
    <n v="0.2"/>
    <m/>
    <m/>
    <m/>
    <m/>
    <m/>
    <m/>
    <m/>
    <m/>
    <m/>
    <m/>
    <m/>
    <m/>
    <m/>
    <m/>
    <m/>
    <m/>
    <m/>
    <m/>
    <m/>
    <m/>
    <m/>
    <m/>
    <m/>
    <m/>
    <m/>
    <m/>
    <m/>
    <m/>
    <m/>
    <m/>
    <m/>
    <m/>
    <m/>
    <m/>
    <m/>
    <m/>
    <m/>
    <m/>
    <m/>
  </r>
  <r>
    <s v="lamnv"/>
    <x v="5"/>
    <x v="0"/>
    <x v="0"/>
    <s v="VAECO"/>
    <x v="20"/>
    <s v="AnhNHT"/>
    <x v="1"/>
    <s v="lamnvVAECO"/>
    <m/>
    <m/>
    <m/>
    <m/>
    <m/>
    <m/>
    <m/>
    <m/>
    <m/>
    <m/>
    <m/>
    <m/>
    <m/>
    <m/>
    <m/>
    <m/>
    <m/>
    <m/>
    <m/>
    <m/>
    <m/>
    <m/>
    <m/>
    <m/>
    <m/>
    <m/>
    <m/>
    <m/>
    <m/>
    <m/>
    <m/>
    <m/>
    <m/>
    <m/>
    <m/>
    <m/>
    <m/>
    <m/>
    <m/>
    <m/>
    <m/>
    <m/>
    <m/>
    <m/>
    <m/>
    <m/>
    <m/>
    <m/>
    <m/>
    <m/>
    <m/>
    <m/>
  </r>
  <r>
    <s v="anhht"/>
    <x v="7"/>
    <x v="1"/>
    <x v="0"/>
    <s v="NB_NDI"/>
    <x v="21"/>
    <s v="HaiDL"/>
    <x v="5"/>
    <s v="anhhtNB_NDI"/>
    <m/>
    <m/>
    <m/>
    <m/>
    <m/>
    <n v="0.15"/>
    <m/>
    <n v="0.15"/>
    <n v="0.15"/>
    <n v="0.15"/>
    <n v="0.15"/>
    <n v="0.15"/>
    <n v="0.15"/>
    <n v="0.15"/>
    <m/>
    <n v="0.15"/>
    <n v="0.15"/>
    <n v="0.15"/>
    <m/>
    <n v="0.15"/>
    <n v="0.15"/>
    <n v="0.15"/>
    <m/>
    <n v="0.15"/>
    <n v="0.15"/>
    <n v="0.15"/>
    <m/>
    <m/>
    <m/>
    <m/>
    <m/>
    <m/>
    <m/>
    <m/>
    <m/>
    <m/>
    <m/>
    <m/>
    <m/>
    <m/>
    <m/>
    <m/>
    <m/>
    <m/>
    <m/>
    <m/>
    <m/>
    <m/>
    <m/>
    <m/>
    <m/>
    <m/>
  </r>
  <r>
    <s v="anhht"/>
    <x v="7"/>
    <x v="1"/>
    <x v="0"/>
    <s v="BD_VR1_01_00"/>
    <x v="22"/>
    <s v="AnhHT"/>
    <x v="4"/>
    <s v="anhhtBD_VR1_01_00"/>
    <m/>
    <m/>
    <m/>
    <m/>
    <m/>
    <m/>
    <m/>
    <m/>
    <m/>
    <m/>
    <m/>
    <m/>
    <m/>
    <n v="0.25"/>
    <n v="0.25"/>
    <n v="0.25"/>
    <n v="0.25"/>
    <n v="0.25"/>
    <n v="0.25"/>
    <n v="0.25"/>
    <n v="0.25"/>
    <n v="0.25"/>
    <n v="0.25"/>
    <n v="0.25"/>
    <n v="0.25"/>
    <n v="0.25"/>
    <m/>
    <m/>
    <m/>
    <m/>
    <m/>
    <m/>
    <m/>
    <m/>
    <m/>
    <m/>
    <m/>
    <m/>
    <m/>
    <m/>
    <m/>
    <m/>
    <m/>
    <m/>
    <m/>
    <m/>
    <m/>
    <m/>
    <m/>
    <m/>
    <m/>
    <m/>
  </r>
  <r>
    <s v="giangntt"/>
    <x v="24"/>
    <x v="0"/>
    <x v="0"/>
    <s v="BD_VR1_01_00"/>
    <x v="22"/>
    <s v="AnhHT"/>
    <x v="4"/>
    <s v="giangnttBD_VR1_01_00"/>
    <m/>
    <m/>
    <m/>
    <m/>
    <m/>
    <m/>
    <m/>
    <m/>
    <m/>
    <m/>
    <m/>
    <m/>
    <m/>
    <n v="0.4"/>
    <n v="0.4"/>
    <n v="0.4"/>
    <n v="0.4"/>
    <n v="0.4"/>
    <n v="0.4"/>
    <n v="0.4"/>
    <n v="0.4"/>
    <n v="0.5"/>
    <n v="0.5"/>
    <n v="0.5"/>
    <n v="0.5"/>
    <n v="0.5"/>
    <m/>
    <m/>
    <m/>
    <m/>
    <m/>
    <m/>
    <m/>
    <m/>
    <m/>
    <m/>
    <m/>
    <m/>
    <m/>
    <m/>
    <m/>
    <m/>
    <m/>
    <m/>
    <m/>
    <m/>
    <m/>
    <m/>
    <m/>
    <m/>
    <m/>
    <m/>
  </r>
  <r>
    <s v="tanhm"/>
    <x v="13"/>
    <x v="1"/>
    <x v="0"/>
    <s v="BD_VR1_01_00"/>
    <x v="22"/>
    <s v="AnhHT"/>
    <x v="4"/>
    <s v="tanhmBD_VR1_01_00"/>
    <m/>
    <m/>
    <m/>
    <m/>
    <m/>
    <m/>
    <m/>
    <m/>
    <m/>
    <n v="0.8"/>
    <n v="0.8"/>
    <n v="0.8"/>
    <n v="0.8"/>
    <n v="0.8"/>
    <n v="0.8"/>
    <n v="0.8"/>
    <n v="0.8"/>
    <n v="0.8"/>
    <n v="0.8"/>
    <n v="0.8"/>
    <n v="0.8"/>
    <n v="0.8"/>
    <n v="0.8"/>
    <n v="0.8"/>
    <n v="0.8"/>
    <n v="0.8"/>
    <m/>
    <m/>
    <m/>
    <m/>
    <m/>
    <m/>
    <m/>
    <m/>
    <m/>
    <m/>
    <m/>
    <m/>
    <m/>
    <m/>
    <m/>
    <m/>
    <m/>
    <m/>
    <m/>
    <m/>
    <m/>
    <m/>
    <m/>
    <m/>
    <m/>
    <m/>
  </r>
  <r>
    <s v="longvd"/>
    <x v="23"/>
    <x v="2"/>
    <x v="0"/>
    <s v="B_CFC_AUTOMATION_XH"/>
    <x v="23"/>
    <s v="LamBH"/>
    <x v="1"/>
    <s v="longvdB_CFC_AUTOMATION_XH"/>
    <m/>
    <m/>
    <m/>
    <m/>
    <m/>
    <m/>
    <m/>
    <m/>
    <m/>
    <m/>
    <m/>
    <m/>
    <m/>
    <n v="0.9"/>
    <n v="0.9"/>
    <n v="0.9"/>
    <n v="0.9"/>
    <n v="0.9"/>
    <n v="0.9"/>
    <n v="0.9"/>
    <n v="0.9"/>
    <n v="0.9"/>
    <n v="0.9"/>
    <n v="0.9"/>
    <n v="0.9"/>
    <n v="0.9"/>
    <m/>
    <m/>
    <m/>
    <m/>
    <m/>
    <m/>
    <m/>
    <m/>
    <m/>
    <m/>
    <m/>
    <m/>
    <m/>
    <m/>
    <m/>
    <m/>
    <m/>
    <m/>
    <m/>
    <m/>
    <m/>
    <m/>
    <m/>
    <m/>
    <m/>
    <m/>
  </r>
  <r>
    <s v="ducna"/>
    <x v="25"/>
    <x v="2"/>
    <x v="2"/>
    <s v="B_CFC_AUTOMATION_XH"/>
    <x v="23"/>
    <s v="LamBH"/>
    <x v="1"/>
    <s v="ducnaB_CFC_AUTOMATION_XH"/>
    <m/>
    <m/>
    <m/>
    <m/>
    <m/>
    <m/>
    <m/>
    <m/>
    <m/>
    <m/>
    <m/>
    <m/>
    <m/>
    <n v="0.9"/>
    <n v="0.9"/>
    <n v="0.9"/>
    <n v="0.9"/>
    <n v="0.9"/>
    <n v="0.9"/>
    <n v="0.9"/>
    <n v="0.9"/>
    <n v="0.9"/>
    <n v="0.9"/>
    <n v="0.9"/>
    <n v="0.9"/>
    <n v="0.9"/>
    <m/>
    <m/>
    <m/>
    <m/>
    <m/>
    <m/>
    <m/>
    <m/>
    <m/>
    <m/>
    <m/>
    <m/>
    <m/>
    <m/>
    <m/>
    <m/>
    <m/>
    <m/>
    <m/>
    <m/>
    <m/>
    <m/>
    <m/>
    <m/>
    <m/>
    <m/>
  </r>
  <r>
    <s v="tungnt2"/>
    <x v="18"/>
    <x v="2"/>
    <x v="0"/>
    <s v="B_CFC_AUTOMATION_XH"/>
    <x v="23"/>
    <s v="LamBH"/>
    <x v="1"/>
    <s v="tungnt2B_CFC_AUTOMATION_XH"/>
    <m/>
    <m/>
    <m/>
    <m/>
    <m/>
    <m/>
    <m/>
    <m/>
    <m/>
    <m/>
    <m/>
    <m/>
    <m/>
    <n v="0.49"/>
    <n v="0.49"/>
    <n v="0.49"/>
    <n v="0.49"/>
    <n v="0.49"/>
    <n v="0.49"/>
    <n v="0.49"/>
    <n v="0.49"/>
    <n v="0.49"/>
    <n v="0.49"/>
    <n v="0.49"/>
    <n v="0.49"/>
    <n v="0.49"/>
    <m/>
    <m/>
    <m/>
    <m/>
    <m/>
    <m/>
    <m/>
    <m/>
    <m/>
    <m/>
    <m/>
    <m/>
    <m/>
    <m/>
    <m/>
    <m/>
    <m/>
    <m/>
    <m/>
    <m/>
    <m/>
    <m/>
    <m/>
    <m/>
    <m/>
    <m/>
  </r>
  <r>
    <s v="manhnk"/>
    <x v="20"/>
    <x v="2"/>
    <x v="0"/>
    <s v="B_CFC_AUTOMATION_XH"/>
    <x v="23"/>
    <s v="LamBH"/>
    <x v="1"/>
    <s v="manhnkB_CFC_AUTOMATION_XH"/>
    <m/>
    <m/>
    <m/>
    <m/>
    <m/>
    <m/>
    <m/>
    <m/>
    <m/>
    <m/>
    <m/>
    <m/>
    <m/>
    <m/>
    <m/>
    <m/>
    <m/>
    <m/>
    <m/>
    <n v="0.55000000000000004"/>
    <n v="0.55000000000000004"/>
    <n v="0.55000000000000004"/>
    <n v="0.55000000000000004"/>
    <n v="0.55000000000000004"/>
    <n v="0.55000000000000004"/>
    <n v="0.55000000000000004"/>
    <m/>
    <m/>
    <m/>
    <m/>
    <m/>
    <m/>
    <m/>
    <m/>
    <m/>
    <m/>
    <m/>
    <m/>
    <m/>
    <m/>
    <m/>
    <m/>
    <m/>
    <m/>
    <m/>
    <m/>
    <m/>
    <m/>
    <m/>
    <m/>
    <m/>
    <m/>
  </r>
  <r>
    <s v="lambh"/>
    <x v="21"/>
    <x v="2"/>
    <x v="0"/>
    <s v="B_CFC_AUTOMATION_XH"/>
    <x v="23"/>
    <s v="LamBH"/>
    <x v="1"/>
    <s v="lambhB_CFC_AUTOMATION_XH"/>
    <m/>
    <m/>
    <m/>
    <m/>
    <m/>
    <m/>
    <m/>
    <m/>
    <m/>
    <m/>
    <m/>
    <m/>
    <m/>
    <n v="0.5"/>
    <n v="0.5"/>
    <n v="0.5"/>
    <n v="0.7"/>
    <n v="0.7"/>
    <n v="0.7"/>
    <n v="0.7"/>
    <n v="0.7"/>
    <n v="0.85"/>
    <n v="0.85"/>
    <n v="0.95"/>
    <n v="0.95"/>
    <n v="0.95"/>
    <m/>
    <m/>
    <m/>
    <m/>
    <m/>
    <m/>
    <m/>
    <m/>
    <m/>
    <m/>
    <m/>
    <m/>
    <m/>
    <m/>
    <m/>
    <m/>
    <m/>
    <m/>
    <m/>
    <m/>
    <m/>
    <m/>
    <m/>
    <m/>
    <m/>
    <m/>
  </r>
  <r>
    <s v="vinhpq"/>
    <x v="22"/>
    <x v="2"/>
    <x v="0"/>
    <s v="B_CFC_AUTOMATION_XH"/>
    <x v="23"/>
    <s v="LamBH"/>
    <x v="1"/>
    <s v="vinhpqB_CFC_AUTOMATION_XH"/>
    <m/>
    <m/>
    <m/>
    <m/>
    <m/>
    <m/>
    <m/>
    <m/>
    <m/>
    <m/>
    <m/>
    <m/>
    <m/>
    <n v="0.4"/>
    <n v="0.4"/>
    <n v="0.4"/>
    <n v="0.4"/>
    <n v="0.8"/>
    <n v="0.8"/>
    <n v="0.8"/>
    <n v="0.8"/>
    <n v="0.8"/>
    <n v="0.8"/>
    <n v="0.8"/>
    <n v="0.8"/>
    <n v="0.8"/>
    <m/>
    <m/>
    <m/>
    <m/>
    <m/>
    <m/>
    <m/>
    <m/>
    <m/>
    <m/>
    <m/>
    <m/>
    <m/>
    <m/>
    <m/>
    <m/>
    <m/>
    <m/>
    <m/>
    <m/>
    <m/>
    <m/>
    <m/>
    <m/>
    <m/>
    <m/>
  </r>
  <r>
    <s v="anhnht"/>
    <x v="6"/>
    <x v="1"/>
    <x v="0"/>
    <s v="BD_EN5_01_00"/>
    <x v="24"/>
    <s v="AnhNHT"/>
    <x v="1"/>
    <s v="anhnhtBD_EN5_01_00"/>
    <m/>
    <m/>
    <m/>
    <m/>
    <m/>
    <m/>
    <m/>
    <m/>
    <m/>
    <m/>
    <m/>
    <m/>
    <m/>
    <m/>
    <m/>
    <m/>
    <m/>
    <m/>
    <m/>
    <m/>
    <m/>
    <m/>
    <m/>
    <m/>
    <m/>
    <m/>
    <m/>
    <m/>
    <m/>
    <m/>
    <m/>
    <m/>
    <m/>
    <m/>
    <m/>
    <m/>
    <m/>
    <m/>
    <m/>
    <m/>
    <m/>
    <m/>
    <m/>
    <m/>
    <m/>
    <m/>
    <m/>
    <m/>
    <m/>
    <m/>
    <m/>
    <m/>
  </r>
  <r>
    <s v="anhnht"/>
    <x v="6"/>
    <x v="1"/>
    <x v="0"/>
    <s v="Presale"/>
    <x v="15"/>
    <s v="HaiDL"/>
    <x v="5"/>
    <s v="anhnhtPresale"/>
    <m/>
    <m/>
    <m/>
    <m/>
    <m/>
    <m/>
    <m/>
    <m/>
    <n v="0.2"/>
    <n v="0.2"/>
    <n v="0.2"/>
    <n v="0.2"/>
    <n v="0.2"/>
    <n v="0.1"/>
    <n v="0.1"/>
    <n v="0.1"/>
    <n v="0.1"/>
    <n v="0.1"/>
    <n v="0.1"/>
    <n v="0.1"/>
    <n v="0.1"/>
    <n v="0.1"/>
    <n v="0.1"/>
    <n v="0.1"/>
    <n v="0.1"/>
    <n v="0.1"/>
    <m/>
    <m/>
    <m/>
    <m/>
    <m/>
    <m/>
    <m/>
    <m/>
    <m/>
    <m/>
    <m/>
    <m/>
    <m/>
    <m/>
    <m/>
    <m/>
    <m/>
    <m/>
    <m/>
    <m/>
    <m/>
    <m/>
    <m/>
    <m/>
    <m/>
    <m/>
  </r>
  <r>
    <s v="anhnht"/>
    <x v="6"/>
    <x v="1"/>
    <x v="0"/>
    <s v="QL"/>
    <x v="25"/>
    <s v="HaiDL"/>
    <x v="5"/>
    <s v="anhnhtQL"/>
    <m/>
    <m/>
    <m/>
    <m/>
    <m/>
    <m/>
    <m/>
    <m/>
    <n v="0.2"/>
    <n v="0.2"/>
    <n v="0.2"/>
    <n v="0.2"/>
    <n v="0.2"/>
    <n v="0.1"/>
    <n v="0.1"/>
    <n v="0.1"/>
    <n v="0.1"/>
    <n v="0.1"/>
    <n v="0.1"/>
    <n v="0.1"/>
    <n v="0.1"/>
    <n v="0.1"/>
    <n v="0.1"/>
    <n v="0.1"/>
    <n v="0.1"/>
    <n v="0.1"/>
    <m/>
    <m/>
    <m/>
    <m/>
    <m/>
    <m/>
    <m/>
    <m/>
    <m/>
    <m/>
    <m/>
    <m/>
    <m/>
    <m/>
    <m/>
    <m/>
    <m/>
    <m/>
    <m/>
    <m/>
    <m/>
    <m/>
    <m/>
    <m/>
    <m/>
    <m/>
  </r>
  <r>
    <s v="phatnl"/>
    <x v="14"/>
    <x v="1"/>
    <x v="0"/>
    <s v="BD_EN5_01_00"/>
    <x v="24"/>
    <s v="AnhNHT"/>
    <x v="1"/>
    <s v="phatnlBD_EN5_01_00"/>
    <n v="0"/>
    <n v="0"/>
    <n v="0"/>
    <n v="0"/>
    <n v="0"/>
    <n v="0.1"/>
    <m/>
    <n v="0"/>
    <n v="0"/>
    <n v="0.05"/>
    <n v="0"/>
    <n v="0.05"/>
    <n v="0"/>
    <m/>
    <m/>
    <m/>
    <m/>
    <m/>
    <m/>
    <m/>
    <m/>
    <m/>
    <m/>
    <m/>
    <m/>
    <m/>
    <m/>
    <m/>
    <m/>
    <m/>
    <m/>
    <m/>
    <m/>
    <m/>
    <m/>
    <m/>
    <m/>
    <m/>
    <m/>
    <m/>
    <m/>
    <m/>
    <m/>
    <m/>
    <m/>
    <m/>
    <m/>
    <m/>
    <m/>
    <m/>
    <m/>
    <m/>
  </r>
  <r>
    <s v="huyenttt"/>
    <x v="15"/>
    <x v="1"/>
    <x v="0"/>
    <s v="BD_EN5_01_00"/>
    <x v="24"/>
    <s v="AnhNHT"/>
    <x v="1"/>
    <s v="huyentttBD_EN5_01_00"/>
    <n v="0"/>
    <n v="0"/>
    <n v="0"/>
    <n v="0"/>
    <n v="0"/>
    <n v="0"/>
    <m/>
    <n v="0"/>
    <n v="0"/>
    <n v="0.05"/>
    <n v="0"/>
    <n v="0.05"/>
    <n v="0"/>
    <m/>
    <m/>
    <m/>
    <m/>
    <m/>
    <m/>
    <m/>
    <m/>
    <m/>
    <m/>
    <m/>
    <m/>
    <m/>
    <m/>
    <m/>
    <m/>
    <m/>
    <m/>
    <m/>
    <m/>
    <m/>
    <m/>
    <m/>
    <m/>
    <m/>
    <m/>
    <m/>
    <m/>
    <m/>
    <m/>
    <m/>
    <m/>
    <m/>
    <m/>
    <m/>
    <m/>
    <m/>
    <m/>
    <m/>
  </r>
  <r>
    <s v="tungnt2"/>
    <x v="18"/>
    <x v="2"/>
    <x v="0"/>
    <s v="B_TDA"/>
    <x v="26"/>
    <s v="LamBH"/>
    <x v="3"/>
    <s v="tungnt2B_TDA"/>
    <m/>
    <m/>
    <m/>
    <m/>
    <m/>
    <m/>
    <m/>
    <m/>
    <n v="0.02"/>
    <n v="0.02"/>
    <n v="0.02"/>
    <n v="0.02"/>
    <n v="0.02"/>
    <n v="0.02"/>
    <n v="0.02"/>
    <n v="0.02"/>
    <n v="0.02"/>
    <n v="0.02"/>
    <n v="0.02"/>
    <n v="0.02"/>
    <n v="0.02"/>
    <n v="0.02"/>
    <n v="0.02"/>
    <n v="0.02"/>
    <n v="0.02"/>
    <n v="0.02"/>
    <m/>
    <m/>
    <m/>
    <m/>
    <m/>
    <m/>
    <m/>
    <m/>
    <m/>
    <m/>
    <m/>
    <m/>
    <m/>
    <m/>
    <m/>
    <m/>
    <m/>
    <m/>
    <m/>
    <m/>
    <m/>
    <m/>
    <m/>
    <m/>
    <m/>
    <m/>
  </r>
  <r>
    <s v="manhnk"/>
    <x v="20"/>
    <x v="2"/>
    <x v="0"/>
    <s v="B_TDA"/>
    <x v="26"/>
    <s v="LamBH"/>
    <x v="3"/>
    <s v="manhnkB_TDA"/>
    <m/>
    <m/>
    <m/>
    <m/>
    <m/>
    <m/>
    <m/>
    <m/>
    <n v="0.01"/>
    <n v="0.01"/>
    <n v="0.01"/>
    <n v="0.01"/>
    <n v="0.01"/>
    <n v="0.01"/>
    <n v="0.01"/>
    <n v="0.01"/>
    <n v="0.01"/>
    <n v="0.01"/>
    <n v="0.01"/>
    <n v="0.01"/>
    <n v="0.01"/>
    <n v="0.01"/>
    <n v="0.01"/>
    <n v="0.01"/>
    <n v="0.01"/>
    <n v="0.01"/>
    <m/>
    <m/>
    <m/>
    <m/>
    <m/>
    <m/>
    <m/>
    <m/>
    <m/>
    <m/>
    <m/>
    <m/>
    <m/>
    <m/>
    <m/>
    <m/>
    <m/>
    <m/>
    <m/>
    <m/>
    <m/>
    <m/>
    <m/>
    <m/>
    <m/>
    <m/>
  </r>
  <r>
    <s v="lambh"/>
    <x v="21"/>
    <x v="2"/>
    <x v="0"/>
    <s v="RD_MF6_01_00"/>
    <x v="27"/>
    <s v="LamBH"/>
    <x v="3"/>
    <s v="lambhRD_MF6_01_00"/>
    <m/>
    <m/>
    <m/>
    <m/>
    <m/>
    <m/>
    <m/>
    <m/>
    <n v="0.02"/>
    <n v="0.02"/>
    <n v="0.02"/>
    <n v="0.02"/>
    <n v="0.02"/>
    <n v="0.02"/>
    <n v="0.02"/>
    <n v="0.02"/>
    <n v="0.02"/>
    <n v="0.02"/>
    <n v="0.02"/>
    <n v="0.02"/>
    <n v="0.02"/>
    <n v="0.02"/>
    <n v="0.02"/>
    <n v="0.02"/>
    <n v="0.02"/>
    <n v="0.02"/>
    <m/>
    <m/>
    <m/>
    <m/>
    <m/>
    <m/>
    <m/>
    <m/>
    <m/>
    <m/>
    <m/>
    <m/>
    <m/>
    <m/>
    <m/>
    <m/>
    <m/>
    <m/>
    <m/>
    <m/>
    <m/>
    <m/>
    <m/>
    <m/>
    <m/>
    <m/>
  </r>
  <r>
    <s v="tungnt2"/>
    <x v="18"/>
    <x v="2"/>
    <x v="0"/>
    <s v="RB_VC2_02_00"/>
    <x v="28"/>
    <s v="LamBH"/>
    <x v="3"/>
    <s v="tungnt2RB_VC2_02_00"/>
    <m/>
    <m/>
    <m/>
    <m/>
    <m/>
    <m/>
    <m/>
    <m/>
    <n v="0.03"/>
    <n v="0.03"/>
    <n v="0.03"/>
    <n v="0.03"/>
    <n v="0.03"/>
    <n v="0.03"/>
    <n v="0.03"/>
    <n v="0.03"/>
    <n v="0.03"/>
    <n v="0.03"/>
    <n v="0.03"/>
    <n v="0.03"/>
    <n v="0.03"/>
    <n v="0.03"/>
    <n v="0.03"/>
    <n v="0.03"/>
    <n v="0.03"/>
    <n v="0.03"/>
    <m/>
    <m/>
    <m/>
    <m/>
    <m/>
    <m/>
    <m/>
    <m/>
    <m/>
    <m/>
    <m/>
    <m/>
    <m/>
    <m/>
    <m/>
    <m/>
    <m/>
    <m/>
    <m/>
    <m/>
    <m/>
    <m/>
    <m/>
    <m/>
    <m/>
    <m/>
  </r>
  <r>
    <s v="diennv"/>
    <x v="19"/>
    <x v="2"/>
    <x v="0"/>
    <s v="RB_VC1_02_00"/>
    <x v="29"/>
    <s v="LamBH"/>
    <x v="3"/>
    <s v="diennvRB_VC1_02_00"/>
    <m/>
    <m/>
    <m/>
    <m/>
    <m/>
    <m/>
    <m/>
    <m/>
    <n v="0.01"/>
    <n v="0.01"/>
    <n v="0.01"/>
    <n v="0.01"/>
    <n v="0.01"/>
    <n v="0.01"/>
    <n v="0.01"/>
    <n v="0.01"/>
    <n v="0.01"/>
    <n v="0.01"/>
    <n v="0.01"/>
    <n v="0.01"/>
    <n v="0.01"/>
    <n v="0.01"/>
    <n v="0.01"/>
    <n v="0.01"/>
    <n v="0.01"/>
    <n v="0.01"/>
    <m/>
    <m/>
    <m/>
    <m/>
    <m/>
    <m/>
    <m/>
    <m/>
    <m/>
    <m/>
    <m/>
    <m/>
    <m/>
    <m/>
    <m/>
    <m/>
    <m/>
    <m/>
    <m/>
    <m/>
    <m/>
    <m/>
    <m/>
    <m/>
    <m/>
    <m/>
  </r>
  <r>
    <s v="vinhpq"/>
    <x v="22"/>
    <x v="2"/>
    <x v="0"/>
    <s v="RB_VC1_02_00"/>
    <x v="29"/>
    <s v="LamBH"/>
    <x v="3"/>
    <s v="vinhpqRB_VC1_02_00"/>
    <m/>
    <m/>
    <m/>
    <m/>
    <m/>
    <m/>
    <m/>
    <m/>
    <n v="0.01"/>
    <n v="0.01"/>
    <n v="0.01"/>
    <n v="0.01"/>
    <n v="0.01"/>
    <n v="0.01"/>
    <n v="0.01"/>
    <n v="0.01"/>
    <n v="0.01"/>
    <n v="0.01"/>
    <n v="0.01"/>
    <n v="0.01"/>
    <n v="0.01"/>
    <n v="0.01"/>
    <n v="0.01"/>
    <n v="0.01"/>
    <n v="0.01"/>
    <n v="0.01"/>
    <m/>
    <m/>
    <m/>
    <m/>
    <m/>
    <m/>
    <m/>
    <m/>
    <m/>
    <m/>
    <m/>
    <m/>
    <m/>
    <m/>
    <m/>
    <m/>
    <m/>
    <m/>
    <m/>
    <m/>
    <m/>
    <m/>
    <m/>
    <m/>
    <m/>
    <m/>
  </r>
  <r>
    <s v="diennv"/>
    <x v="19"/>
    <x v="2"/>
    <x v="0"/>
    <s v="RB_VC9_02_00"/>
    <x v="30"/>
    <s v="LamBH"/>
    <x v="3"/>
    <s v="diennvRB_VC9_02_00"/>
    <m/>
    <m/>
    <m/>
    <m/>
    <m/>
    <m/>
    <m/>
    <m/>
    <n v="0.01"/>
    <n v="0.01"/>
    <n v="0.01"/>
    <n v="0.01"/>
    <n v="0.01"/>
    <n v="0.01"/>
    <n v="0.01"/>
    <n v="0.01"/>
    <n v="0.01"/>
    <n v="0.01"/>
    <n v="0.01"/>
    <n v="0.01"/>
    <n v="0.01"/>
    <n v="0.01"/>
    <n v="0.01"/>
    <n v="0.01"/>
    <n v="0.01"/>
    <n v="0.01"/>
    <m/>
    <m/>
    <m/>
    <m/>
    <m/>
    <m/>
    <m/>
    <m/>
    <m/>
    <m/>
    <m/>
    <m/>
    <m/>
    <m/>
    <m/>
    <m/>
    <m/>
    <m/>
    <m/>
    <m/>
    <m/>
    <m/>
    <m/>
    <m/>
    <m/>
    <m/>
  </r>
  <r>
    <s v="vinhpq"/>
    <x v="22"/>
    <x v="2"/>
    <x v="0"/>
    <s v="RB_VC9_02_00"/>
    <x v="30"/>
    <s v="LamBH"/>
    <x v="3"/>
    <s v="vinhpqRB_VC9_02_00"/>
    <m/>
    <m/>
    <m/>
    <m/>
    <m/>
    <m/>
    <m/>
    <m/>
    <n v="0.01"/>
    <n v="0.01"/>
    <n v="0.01"/>
    <n v="0.01"/>
    <n v="0.01"/>
    <n v="0.01"/>
    <n v="0.01"/>
    <n v="0.01"/>
    <n v="0.01"/>
    <n v="0.01"/>
    <n v="0.01"/>
    <n v="0.01"/>
    <n v="0.01"/>
    <n v="0.01"/>
    <n v="0.01"/>
    <n v="0.01"/>
    <n v="0.01"/>
    <n v="0.01"/>
    <m/>
    <m/>
    <m/>
    <m/>
    <m/>
    <m/>
    <m/>
    <m/>
    <m/>
    <m/>
    <m/>
    <m/>
    <m/>
    <m/>
    <m/>
    <m/>
    <m/>
    <m/>
    <m/>
    <m/>
    <m/>
    <m/>
    <m/>
    <m/>
    <m/>
    <m/>
  </r>
  <r>
    <s v="lambh"/>
    <x v="21"/>
    <x v="2"/>
    <x v="0"/>
    <s v="B_CFC_Websales"/>
    <x v="31"/>
    <s v="LamBH"/>
    <x v="3"/>
    <s v="lambhB_CFC_Websales"/>
    <m/>
    <m/>
    <m/>
    <m/>
    <m/>
    <m/>
    <m/>
    <m/>
    <n v="0.01"/>
    <n v="0.01"/>
    <n v="0.01"/>
    <n v="0.01"/>
    <n v="0.01"/>
    <n v="0.01"/>
    <n v="0.01"/>
    <n v="0.01"/>
    <n v="0.01"/>
    <n v="0.01"/>
    <n v="0.01"/>
    <n v="0.01"/>
    <n v="0.01"/>
    <n v="0.01"/>
    <n v="0.01"/>
    <n v="0.01"/>
    <n v="0.01"/>
    <n v="0.01"/>
    <m/>
    <m/>
    <m/>
    <m/>
    <m/>
    <m/>
    <m/>
    <m/>
    <m/>
    <m/>
    <m/>
    <m/>
    <m/>
    <m/>
    <m/>
    <m/>
    <m/>
    <m/>
    <m/>
    <m/>
    <m/>
    <m/>
    <m/>
    <m/>
    <m/>
    <m/>
  </r>
  <r>
    <s v="tungnt2"/>
    <x v="18"/>
    <x v="2"/>
    <x v="0"/>
    <s v="B_CFC_Websales"/>
    <x v="31"/>
    <s v="LamBH"/>
    <x v="3"/>
    <s v="tungnt2B_CFC_Websales"/>
    <m/>
    <m/>
    <m/>
    <m/>
    <m/>
    <m/>
    <m/>
    <m/>
    <n v="0.01"/>
    <n v="0.01"/>
    <n v="0.01"/>
    <n v="0.01"/>
    <n v="0.01"/>
    <n v="0.01"/>
    <n v="0.01"/>
    <n v="0.01"/>
    <n v="0.01"/>
    <n v="0.01"/>
    <n v="0.01"/>
    <n v="0.01"/>
    <n v="0.01"/>
    <n v="0.01"/>
    <n v="0.01"/>
    <n v="0.01"/>
    <n v="0.01"/>
    <n v="0.01"/>
    <m/>
    <m/>
    <m/>
    <m/>
    <m/>
    <m/>
    <m/>
    <m/>
    <m/>
    <m/>
    <m/>
    <m/>
    <m/>
    <m/>
    <m/>
    <m/>
    <m/>
    <m/>
    <m/>
    <m/>
    <m/>
    <m/>
    <m/>
    <m/>
    <m/>
    <m/>
  </r>
  <r>
    <s v="lambh"/>
    <x v="21"/>
    <x v="2"/>
    <x v="0"/>
    <s v="B_TTG_Websales"/>
    <x v="32"/>
    <s v="LamBH"/>
    <x v="3"/>
    <s v="lambhB_TTG_Websales"/>
    <m/>
    <m/>
    <m/>
    <m/>
    <m/>
    <m/>
    <m/>
    <m/>
    <n v="0.01"/>
    <n v="0.01"/>
    <n v="0.01"/>
    <n v="0.01"/>
    <n v="0.01"/>
    <n v="0.01"/>
    <n v="0.01"/>
    <n v="0.01"/>
    <n v="0.01"/>
    <n v="0.01"/>
    <n v="0.01"/>
    <n v="0.01"/>
    <n v="0.01"/>
    <n v="0.01"/>
    <n v="0.01"/>
    <n v="0.01"/>
    <n v="0.01"/>
    <n v="0.01"/>
    <m/>
    <m/>
    <m/>
    <m/>
    <m/>
    <m/>
    <m/>
    <m/>
    <m/>
    <m/>
    <m/>
    <m/>
    <m/>
    <m/>
    <m/>
    <m/>
    <m/>
    <m/>
    <m/>
    <m/>
    <m/>
    <m/>
    <m/>
    <m/>
    <m/>
    <m/>
  </r>
  <r>
    <s v="tungnt2"/>
    <x v="18"/>
    <x v="2"/>
    <x v="0"/>
    <s v="B_TTG_Websales"/>
    <x v="32"/>
    <s v="LamBH"/>
    <x v="3"/>
    <s v="tungnt2B_TTG_Websales"/>
    <m/>
    <m/>
    <m/>
    <m/>
    <m/>
    <m/>
    <m/>
    <m/>
    <n v="0.01"/>
    <n v="0.01"/>
    <n v="0.01"/>
    <n v="0.01"/>
    <n v="0.01"/>
    <n v="0.01"/>
    <n v="0.01"/>
    <n v="0.01"/>
    <n v="0.01"/>
    <n v="0.01"/>
    <n v="0.01"/>
    <n v="0.01"/>
    <n v="0.01"/>
    <n v="0.01"/>
    <n v="0.01"/>
    <n v="0.01"/>
    <n v="0.01"/>
    <n v="0.01"/>
    <m/>
    <m/>
    <m/>
    <m/>
    <m/>
    <m/>
    <m/>
    <m/>
    <m/>
    <m/>
    <m/>
    <m/>
    <m/>
    <m/>
    <m/>
    <m/>
    <m/>
    <m/>
    <m/>
    <m/>
    <m/>
    <m/>
    <m/>
    <m/>
    <m/>
    <m/>
  </r>
  <r>
    <s v="longvd"/>
    <x v="23"/>
    <x v="2"/>
    <x v="0"/>
    <s v="B_TTG_Websales"/>
    <x v="32"/>
    <s v="LamBH"/>
    <x v="3"/>
    <s v="longvdB_TTG_Websales"/>
    <m/>
    <m/>
    <m/>
    <m/>
    <m/>
    <m/>
    <m/>
    <m/>
    <n v="0.01"/>
    <n v="0.01"/>
    <n v="0.01"/>
    <n v="0.01"/>
    <n v="0.01"/>
    <n v="0.01"/>
    <n v="0.01"/>
    <n v="0.01"/>
    <n v="0.01"/>
    <n v="0.01"/>
    <n v="0.01"/>
    <n v="0.01"/>
    <n v="0.01"/>
    <n v="0.01"/>
    <n v="0.01"/>
    <n v="0.01"/>
    <n v="0.01"/>
    <n v="0.01"/>
    <m/>
    <m/>
    <m/>
    <m/>
    <m/>
    <m/>
    <m/>
    <m/>
    <m/>
    <m/>
    <m/>
    <m/>
    <m/>
    <m/>
    <m/>
    <m/>
    <m/>
    <m/>
    <m/>
    <m/>
    <m/>
    <m/>
    <m/>
    <m/>
    <m/>
    <m/>
  </r>
  <r>
    <s v="manhnk"/>
    <x v="20"/>
    <x v="2"/>
    <x v="0"/>
    <s v="B_TTG_Websales"/>
    <x v="32"/>
    <s v="LamBH"/>
    <x v="3"/>
    <s v="manhnkB_TTG_Websales"/>
    <m/>
    <m/>
    <m/>
    <m/>
    <m/>
    <m/>
    <m/>
    <m/>
    <n v="0.01"/>
    <n v="0.01"/>
    <n v="0.01"/>
    <n v="0.01"/>
    <n v="0.01"/>
    <n v="0.01"/>
    <n v="0.01"/>
    <n v="0.01"/>
    <n v="0.01"/>
    <n v="0.01"/>
    <n v="0.01"/>
    <n v="0.01"/>
    <n v="0.01"/>
    <n v="0.01"/>
    <n v="0.01"/>
    <n v="0.01"/>
    <n v="0.01"/>
    <n v="0.01"/>
    <m/>
    <m/>
    <m/>
    <m/>
    <m/>
    <m/>
    <m/>
    <m/>
    <m/>
    <m/>
    <m/>
    <m/>
    <m/>
    <m/>
    <m/>
    <m/>
    <m/>
    <m/>
    <m/>
    <m/>
    <m/>
    <m/>
    <m/>
    <m/>
    <m/>
    <m/>
  </r>
  <r>
    <s v="tungnt2"/>
    <x v="18"/>
    <x v="2"/>
    <x v="0"/>
    <s v="B_Can_Oristar"/>
    <x v="33"/>
    <s v="LamBH"/>
    <x v="3"/>
    <s v="tungnt2B_Can_Oristar"/>
    <m/>
    <m/>
    <m/>
    <m/>
    <m/>
    <m/>
    <m/>
    <m/>
    <n v="0.01"/>
    <n v="0.01"/>
    <n v="0.01"/>
    <n v="0.01"/>
    <n v="0.01"/>
    <n v="0.01"/>
    <n v="0.01"/>
    <n v="0.01"/>
    <n v="0.01"/>
    <n v="0.01"/>
    <n v="0.01"/>
    <n v="0.01"/>
    <n v="0.01"/>
    <n v="0.01"/>
    <n v="0.01"/>
    <n v="0.01"/>
    <n v="0.01"/>
    <n v="0.01"/>
    <m/>
    <m/>
    <m/>
    <m/>
    <m/>
    <m/>
    <m/>
    <m/>
    <m/>
    <m/>
    <m/>
    <m/>
    <m/>
    <m/>
    <m/>
    <m/>
    <m/>
    <m/>
    <m/>
    <m/>
    <m/>
    <m/>
    <m/>
    <m/>
    <m/>
    <m/>
  </r>
  <r>
    <s v="lambh"/>
    <x v="21"/>
    <x v="2"/>
    <x v="0"/>
    <s v="B_XHTD_HP"/>
    <x v="34"/>
    <s v="LamBH"/>
    <x v="3"/>
    <s v="lambhB_XHTD_HP"/>
    <m/>
    <m/>
    <m/>
    <m/>
    <m/>
    <m/>
    <m/>
    <m/>
    <n v="0.01"/>
    <n v="0.01"/>
    <n v="0.01"/>
    <n v="0.01"/>
    <n v="0.01"/>
    <n v="0.01"/>
    <n v="0.01"/>
    <n v="0.01"/>
    <n v="0.01"/>
    <n v="0.01"/>
    <n v="0.01"/>
    <n v="0.01"/>
    <n v="0.01"/>
    <n v="0.01"/>
    <n v="0.01"/>
    <n v="0.01"/>
    <n v="0.01"/>
    <n v="0.01"/>
    <m/>
    <m/>
    <m/>
    <m/>
    <m/>
    <m/>
    <m/>
    <m/>
    <m/>
    <m/>
    <m/>
    <m/>
    <m/>
    <m/>
    <m/>
    <m/>
    <m/>
    <m/>
    <m/>
    <m/>
    <m/>
    <m/>
    <m/>
    <m/>
    <m/>
    <m/>
  </r>
  <r>
    <s v="tungnt2"/>
    <x v="18"/>
    <x v="2"/>
    <x v="0"/>
    <s v="B_XHTD_HP"/>
    <x v="34"/>
    <s v="LamBH"/>
    <x v="3"/>
    <s v="tungnt2B_XHTD_HP"/>
    <m/>
    <m/>
    <m/>
    <m/>
    <m/>
    <m/>
    <m/>
    <m/>
    <n v="0.03"/>
    <n v="0.03"/>
    <n v="0.03"/>
    <n v="0.03"/>
    <n v="0.03"/>
    <n v="0.03"/>
    <n v="0.03"/>
    <n v="0.03"/>
    <n v="0.03"/>
    <n v="0.03"/>
    <n v="0.03"/>
    <n v="0.03"/>
    <n v="0.03"/>
    <n v="0.03"/>
    <n v="0.03"/>
    <n v="0.03"/>
    <n v="0.03"/>
    <n v="0.03"/>
    <m/>
    <m/>
    <m/>
    <m/>
    <m/>
    <m/>
    <m/>
    <m/>
    <m/>
    <m/>
    <m/>
    <m/>
    <m/>
    <m/>
    <m/>
    <m/>
    <m/>
    <m/>
    <m/>
    <m/>
    <m/>
    <m/>
    <m/>
    <m/>
    <m/>
    <m/>
  </r>
  <r>
    <s v="tamtn"/>
    <x v="0"/>
    <x v="0"/>
    <x v="0"/>
    <s v="CD_MB0_01_00"/>
    <x v="12"/>
    <s v="NgocDH"/>
    <x v="4"/>
    <s v="tamtnCD_MB0_01_00"/>
    <m/>
    <m/>
    <m/>
    <m/>
    <m/>
    <m/>
    <m/>
    <m/>
    <n v="0.6"/>
    <n v="0.6"/>
    <n v="0.6"/>
    <n v="0.6"/>
    <n v="0.6"/>
    <n v="0.6"/>
    <n v="0.6"/>
    <n v="0.6"/>
    <n v="0.6"/>
    <n v="0.6"/>
    <n v="0.6"/>
    <n v="0.6"/>
    <n v="0.6"/>
    <n v="0.6"/>
    <n v="0.6"/>
    <n v="0.6"/>
    <n v="0.6"/>
    <n v="0.6"/>
    <m/>
    <m/>
    <m/>
    <m/>
    <m/>
    <m/>
    <m/>
    <m/>
    <m/>
    <m/>
    <m/>
    <m/>
    <m/>
    <m/>
    <m/>
    <m/>
    <m/>
    <m/>
    <m/>
    <m/>
    <m/>
    <m/>
    <m/>
    <m/>
    <m/>
    <m/>
  </r>
  <r>
    <s v="minhdd"/>
    <x v="9"/>
    <x v="1"/>
    <x v="0"/>
    <s v="CD_MB0_01_00"/>
    <x v="12"/>
    <s v="NgocDH"/>
    <x v="4"/>
    <s v="minhddCD_MB0_01_00"/>
    <m/>
    <m/>
    <m/>
    <m/>
    <m/>
    <m/>
    <m/>
    <m/>
    <m/>
    <n v="0.5"/>
    <n v="1"/>
    <n v="1"/>
    <n v="1"/>
    <n v="0.5"/>
    <n v="0.5"/>
    <n v="0.5"/>
    <n v="0.5"/>
    <m/>
    <m/>
    <m/>
    <m/>
    <m/>
    <m/>
    <m/>
    <m/>
    <m/>
    <m/>
    <m/>
    <m/>
    <m/>
    <m/>
    <m/>
    <m/>
    <m/>
    <m/>
    <m/>
    <m/>
    <m/>
    <m/>
    <m/>
    <m/>
    <m/>
    <m/>
    <m/>
    <m/>
    <m/>
    <m/>
    <m/>
    <m/>
    <m/>
    <m/>
    <m/>
  </r>
  <r>
    <s v="conglc"/>
    <x v="3"/>
    <x v="0"/>
    <x v="0"/>
    <s v="NB_AI_Onprem"/>
    <x v="35"/>
    <s v="AnhHT"/>
    <x v="5"/>
    <s v="conglcNB_AI_Onprem"/>
    <m/>
    <m/>
    <m/>
    <m/>
    <m/>
    <m/>
    <m/>
    <m/>
    <n v="0.3"/>
    <n v="0.3"/>
    <n v="0.3"/>
    <n v="0.3"/>
    <n v="0.3"/>
    <n v="0.3"/>
    <n v="0.3"/>
    <n v="0.3"/>
    <n v="0.3"/>
    <n v="0.3"/>
    <n v="0.3"/>
    <n v="0.3"/>
    <n v="0.3"/>
    <n v="0.3"/>
    <n v="0.3"/>
    <n v="0.3"/>
    <n v="0.3"/>
    <n v="0.3"/>
    <m/>
    <m/>
    <m/>
    <m/>
    <m/>
    <m/>
    <m/>
    <m/>
    <m/>
    <m/>
    <m/>
    <m/>
    <m/>
    <m/>
    <m/>
    <m/>
    <m/>
    <m/>
    <m/>
    <m/>
    <m/>
    <m/>
    <m/>
    <m/>
    <m/>
    <m/>
  </r>
  <r>
    <s v="CÔNG THỨC CHỈ ÁP DỤNG ĐẾN ĐÂY, nếu cần bổ sung thêm dòng vui lòng Copy và Insert phía trên"/>
    <x v="26"/>
    <x v="3"/>
    <x v="3"/>
    <m/>
    <x v="36"/>
    <m/>
    <x v="6"/>
    <m/>
    <m/>
    <m/>
    <m/>
    <m/>
    <m/>
    <m/>
    <m/>
    <m/>
    <m/>
    <m/>
    <m/>
    <m/>
    <m/>
    <m/>
    <m/>
    <m/>
    <m/>
    <m/>
    <m/>
    <m/>
    <m/>
    <m/>
    <m/>
    <m/>
    <m/>
    <m/>
    <m/>
    <m/>
    <m/>
    <m/>
    <m/>
    <m/>
    <m/>
    <m/>
    <m/>
    <m/>
    <m/>
    <m/>
    <m/>
    <m/>
    <m/>
    <m/>
    <m/>
    <m/>
    <m/>
    <m/>
    <m/>
    <m/>
    <m/>
    <m/>
    <m/>
    <m/>
  </r>
  <r>
    <s v="hieudt"/>
    <x v="11"/>
    <x v="0"/>
    <x v="0"/>
    <s v="BD_SU0_01_00"/>
    <x v="19"/>
    <s v="AnhHT"/>
    <x v="4"/>
    <s v="hieudtBD_SU0_01_00"/>
    <m/>
    <m/>
    <m/>
    <m/>
    <m/>
    <m/>
    <m/>
    <m/>
    <m/>
    <m/>
    <n v="0.3"/>
    <n v="0.3"/>
    <n v="0.3"/>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r>
    <m/>
    <x v="26"/>
    <x v="3"/>
    <x v="3"/>
    <m/>
    <x v="36"/>
    <m/>
    <x v="6"/>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56928-5006-48EB-B980-29DB5CD86FE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AB32" firstHeaderRow="0" firstDataRow="1" firstDataCol="2" rowPageCount="3" colPageCount="1"/>
  <pivotFields count="61">
    <pivotField compact="0" outline="0" showAll="0" defaultSubtotal="0"/>
    <pivotField axis="axisRow" compact="0" outline="0" showAll="0" defaultSubtotal="0">
      <items count="28">
        <item m="1" x="27"/>
        <item x="21"/>
        <item x="9"/>
        <item x="11"/>
        <item x="1"/>
        <item x="13"/>
        <item x="7"/>
        <item x="3"/>
        <item x="17"/>
        <item x="2"/>
        <item x="18"/>
        <item x="8"/>
        <item x="25"/>
        <item x="6"/>
        <item x="20"/>
        <item x="14"/>
        <item x="4"/>
        <item x="10"/>
        <item x="24"/>
        <item x="19"/>
        <item x="5"/>
        <item x="22"/>
        <item x="16"/>
        <item x="15"/>
        <item x="0"/>
        <item x="23"/>
        <item x="26"/>
        <item x="12"/>
      </items>
    </pivotField>
    <pivotField axis="axisRow" compact="0" outline="0" showAll="0" defaultSubtotal="0">
      <items count="5">
        <item m="1" x="4"/>
        <item x="0"/>
        <item x="1"/>
        <item x="2"/>
        <item x="3"/>
      </items>
    </pivotField>
    <pivotField axis="axisPage" compact="0" outline="0" multipleItemSelectionAllowed="1" showAll="0" defaultSubtotal="0">
      <items count="5">
        <item m="1" x="4"/>
        <item x="0"/>
        <item x="2"/>
        <item x="3"/>
        <item x="1"/>
      </items>
    </pivotField>
    <pivotField compact="0" outline="0" showAll="0" defaultSubtotal="0"/>
    <pivotField axis="axisPage" compact="0" outline="0" showAll="0" defaultSubtotal="0">
      <items count="42">
        <item m="1" x="39"/>
        <item x="0"/>
        <item x="1"/>
        <item x="2"/>
        <item x="3"/>
        <item x="4"/>
        <item x="5"/>
        <item x="6"/>
        <item x="7"/>
        <item x="8"/>
        <item x="9"/>
        <item x="10"/>
        <item x="13"/>
        <item m="1" x="41"/>
        <item x="17"/>
        <item x="18"/>
        <item x="36"/>
        <item x="14"/>
        <item x="16"/>
        <item x="12"/>
        <item m="1" x="40"/>
        <item x="21"/>
        <item x="11"/>
        <item x="15"/>
        <item x="19"/>
        <item x="20"/>
        <item m="1" x="38"/>
        <item x="23"/>
        <item x="24"/>
        <item x="25"/>
        <item x="26"/>
        <item x="27"/>
        <item x="28"/>
        <item x="29"/>
        <item x="30"/>
        <item x="31"/>
        <item x="32"/>
        <item x="33"/>
        <item x="34"/>
        <item x="35"/>
        <item m="1" x="37"/>
        <item x="22"/>
      </items>
    </pivotField>
    <pivotField compact="0" outline="0" showAll="0" defaultSubtotal="0"/>
    <pivotField axis="axisPage" compact="0" outline="0" multipleItemSelectionAllowed="1" showAll="0" defaultSubtotal="0">
      <items count="10">
        <item h="1" m="1" x="8"/>
        <item x="3"/>
        <item x="1"/>
        <item x="4"/>
        <item x="0"/>
        <item x="5"/>
        <item m="1" x="9"/>
        <item x="6"/>
        <item h="1" x="2"/>
        <item h="1" m="1" x="7"/>
      </items>
    </pivotField>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2"/>
    <field x="1"/>
  </rowFields>
  <rowItems count="27">
    <i>
      <x v="1"/>
      <x v="3"/>
    </i>
    <i r="1">
      <x v="7"/>
    </i>
    <i r="1">
      <x v="8"/>
    </i>
    <i r="1">
      <x v="9"/>
    </i>
    <i r="1">
      <x v="11"/>
    </i>
    <i r="1">
      <x v="18"/>
    </i>
    <i r="1">
      <x v="20"/>
    </i>
    <i r="1">
      <x v="24"/>
    </i>
    <i r="1">
      <x v="27"/>
    </i>
    <i>
      <x v="2"/>
      <x v="2"/>
    </i>
    <i r="1">
      <x v="4"/>
    </i>
    <i r="1">
      <x v="5"/>
    </i>
    <i r="1">
      <x v="6"/>
    </i>
    <i r="1">
      <x v="13"/>
    </i>
    <i r="1">
      <x v="15"/>
    </i>
    <i r="1">
      <x v="16"/>
    </i>
    <i r="1">
      <x v="17"/>
    </i>
    <i r="1">
      <x v="22"/>
    </i>
    <i r="1">
      <x v="23"/>
    </i>
    <i>
      <x v="3"/>
      <x v="1"/>
    </i>
    <i r="1">
      <x v="10"/>
    </i>
    <i r="1">
      <x v="12"/>
    </i>
    <i r="1">
      <x v="14"/>
    </i>
    <i r="1">
      <x v="19"/>
    </i>
    <i r="1">
      <x v="21"/>
    </i>
    <i r="1">
      <x v="25"/>
    </i>
    <i>
      <x v="4"/>
      <x v="26"/>
    </i>
  </rowItems>
  <colFields count="1">
    <field x="-2"/>
  </colFields>
  <col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colItems>
  <pageFields count="3">
    <pageField fld="7" hier="-1"/>
    <pageField fld="5" hier="-1"/>
    <pageField fld="3" hier="-1"/>
  </pageFields>
  <dataFields count="26">
    <dataField name="Sum of 1/5/2026" fld="9" baseField="0" baseItem="0"/>
    <dataField name="Sum of 1/12/2026" fld="10" baseField="0" baseItem="0"/>
    <dataField name="Sum of 1/19/2026" fld="11" baseField="0" baseItem="0"/>
    <dataField name="Sum of 1/26/2026" fld="12" baseField="0" baseItem="0"/>
    <dataField name="Sum of 2/2/2026" fld="13" baseField="0" baseItem="0"/>
    <dataField name="Sum of 2/9/2026" fld="14" baseField="0" baseItem="0"/>
    <dataField name="Sum of 2/16/2026" fld="15" baseField="0" baseItem="0"/>
    <dataField name="Sum of 2/23/2026" fld="16" baseField="0" baseItem="0"/>
    <dataField name="Sum of 3/2/2026" fld="17" baseField="0" baseItem="0"/>
    <dataField name="Sum of 3/9/2026" fld="18" baseField="0" baseItem="0"/>
    <dataField name="Sum of 3/16/2026" fld="19" baseField="0" baseItem="0"/>
    <dataField name="Sum of 3/23/2026" fld="20" baseField="0" baseItem="0"/>
    <dataField name="Sum of 3/30/2026" fld="21" baseField="0" baseItem="0"/>
    <dataField name="Sum of 4/6/2026" fld="22" baseField="0" baseItem="0"/>
    <dataField name="Sum of 4/13/2026" fld="23" baseField="0" baseItem="0"/>
    <dataField name="Sum of 4/20/2026" fld="24" baseField="0" baseItem="0"/>
    <dataField name="Sum of 4/27/2026" fld="25" baseField="0" baseItem="0"/>
    <dataField name="Sum of 5/4/2026" fld="26" baseField="0" baseItem="0"/>
    <dataField name="Sum of 5/11/2026" fld="27" baseField="0" baseItem="0"/>
    <dataField name="Sum of 5/18/2026" fld="28" baseField="0" baseItem="0"/>
    <dataField name="Sum of 5/25/2026" fld="29" baseField="0" baseItem="0"/>
    <dataField name="Sum of 6/1/2026" fld="30" baseField="0" baseItem="0"/>
    <dataField name="Sum of 6/8/2026" fld="31" baseField="0" baseItem="0"/>
    <dataField name="Sum of 6/15/2026" fld="32" baseField="0" baseItem="0"/>
    <dataField name="Sum of 6/22/2026" fld="33" baseField="0" baseItem="0"/>
    <dataField name="Sum of 6/29/2026" fld="34" baseField="0" baseItem="0"/>
  </dataFields>
  <formats count="2">
    <format dxfId="8">
      <pivotArea outline="0" collapsedLevelsAreSubtotals="1" fieldPosition="0"/>
    </format>
    <format dxfId="7">
      <pivotArea dataOnly="0" labelOnly="1" outline="0" fieldPosition="0">
        <references count="1">
          <reference field="4294967294" count="13">
            <x v="0"/>
            <x v="1"/>
            <x v="2"/>
            <x v="3"/>
            <x v="4"/>
            <x v="5"/>
            <x v="6"/>
            <x v="7"/>
            <x v="8"/>
            <x v="9"/>
            <x v="10"/>
            <x v="11"/>
            <x v="12"/>
          </reference>
        </references>
      </pivotArea>
    </format>
  </formats>
  <conditionalFormats count="4">
    <conditionalFormat priority="2">
      <pivotAreas count="2">
        <pivotArea type="data" outline="0" collapsedLevelsAreSubtotals="1" fieldPosition="0">
          <references count="3">
            <reference field="4294967294" count="2" selected="0">
              <x v="0"/>
              <x v="1"/>
            </reference>
            <reference field="1" count="8" selected="0">
              <x v="3"/>
              <x v="7"/>
              <x v="8"/>
              <x v="9"/>
              <x v="11"/>
              <x v="18"/>
              <x v="20"/>
              <x v="24"/>
            </reference>
            <reference field="2" count="1" selected="0">
              <x v="1"/>
            </reference>
          </references>
        </pivotArea>
        <pivotArea type="data" outline="0" collapsedLevelsAreSubtotals="1" fieldPosition="0">
          <references count="3">
            <reference field="4294967294" count="2" selected="0">
              <x v="0"/>
              <x v="1"/>
            </reference>
            <reference field="1" count="2" selected="0">
              <x v="2"/>
              <x v="4"/>
            </reference>
            <reference field="2" count="1" selected="0">
              <x v="2"/>
            </reference>
          </references>
        </pivotArea>
      </pivotAreas>
    </conditionalFormat>
    <conditionalFormat priority="3">
      <pivotAreas count="1">
        <pivotArea type="data" outline="0" collapsedLevelsAreSubtotals="1" fieldPosition="0">
          <references count="1">
            <reference field="2" count="1" selected="0">
              <x v="3"/>
            </reference>
          </references>
        </pivotArea>
      </pivotAreas>
    </conditionalFormat>
    <conditionalFormat priority="4">
      <pivotAreas count="2">
        <pivotArea type="data" outline="0" collapsedLevelsAreSubtotals="1" fieldPosition="0">
          <references count="2">
            <reference field="1" count="18" selected="0">
              <x v="2"/>
              <x v="3"/>
              <x v="4"/>
              <x v="5"/>
              <x v="6"/>
              <x v="7"/>
              <x v="8"/>
              <x v="9"/>
              <x v="11"/>
              <x v="13"/>
              <x v="15"/>
              <x v="16"/>
              <x v="17"/>
              <x v="18"/>
              <x v="20"/>
              <x v="22"/>
              <x v="23"/>
              <x v="24"/>
            </reference>
            <reference field="2" count="2" selected="0">
              <x v="1"/>
              <x v="2"/>
            </reference>
          </references>
        </pivotArea>
        <pivotArea type="data" outline="0" collapsedLevelsAreSubtotals="1" fieldPosition="0">
          <references count="2">
            <reference field="1" count="6" selected="0">
              <x v="1"/>
              <x v="10"/>
              <x v="12"/>
              <x v="14"/>
              <x v="19"/>
              <x v="21"/>
            </reference>
            <reference field="2" count="1" selected="0">
              <x v="3"/>
            </reference>
          </references>
        </pivotArea>
      </pivotAreas>
    </conditionalFormat>
    <conditionalFormat priority="1">
      <pivotAreas count="1">
        <pivotArea type="data" outline="0" collapsedLevelsAreSubtotals="1" fieldPosition="0">
          <references count="2">
            <reference field="1" count="1" selected="0">
              <x v="25"/>
            </reference>
            <reference field="2"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73DD3-7D92-41B8-89B0-D275C89D8130}">
  <sheetPr>
    <tabColor theme="4"/>
  </sheetPr>
  <dimension ref="A1:AK32"/>
  <sheetViews>
    <sheetView showGridLines="0" workbookViewId="0">
      <pane xSplit="2" ySplit="5" topLeftCell="J6" activePane="bottomRight" state="frozen"/>
      <selection pane="topRight"/>
      <selection pane="bottomLeft"/>
      <selection pane="bottomRight" activeCell="L16" sqref="L16"/>
    </sheetView>
  </sheetViews>
  <sheetFormatPr defaultColWidth="8.875" defaultRowHeight="15.75"/>
  <cols>
    <col min="1" max="1" width="19.625" bestFit="1" customWidth="1"/>
    <col min="2" max="2" width="21.375" bestFit="1" customWidth="1"/>
    <col min="3" max="3" width="15.125" style="9" hidden="1" customWidth="1"/>
    <col min="4" max="6" width="16.25" style="9" hidden="1" customWidth="1"/>
    <col min="7" max="8" width="15.125" style="9" hidden="1" customWidth="1"/>
    <col min="9" max="9" width="16.25" style="9" hidden="1" customWidth="1"/>
    <col min="10" max="10" width="16.25" style="9" bestFit="1" customWidth="1"/>
    <col min="11" max="12" width="15.125" style="9" bestFit="1" customWidth="1"/>
    <col min="13" max="15" width="16.25" style="9" bestFit="1" customWidth="1"/>
    <col min="16" max="16" width="15.125" style="9" bestFit="1" customWidth="1"/>
    <col min="17" max="19" width="16.25" style="9" bestFit="1" customWidth="1"/>
    <col min="20" max="20" width="15.125" style="9" bestFit="1" customWidth="1"/>
    <col min="21" max="23" width="16.25" style="9" bestFit="1" customWidth="1"/>
    <col min="24" max="25" width="15.125" style="9" bestFit="1" customWidth="1"/>
    <col min="26" max="28" width="16.25" style="9" bestFit="1" customWidth="1"/>
    <col min="29" max="37" width="9" style="9"/>
  </cols>
  <sheetData>
    <row r="1" spans="1:28">
      <c r="A1" s="3" t="s">
        <v>0</v>
      </c>
      <c r="B1" t="s">
        <v>1</v>
      </c>
    </row>
    <row r="2" spans="1:28">
      <c r="A2" s="3" t="s">
        <v>2</v>
      </c>
      <c r="B2" t="s">
        <v>3</v>
      </c>
    </row>
    <row r="3" spans="1:28">
      <c r="A3" s="3" t="s">
        <v>4</v>
      </c>
      <c r="B3" t="s">
        <v>3</v>
      </c>
    </row>
    <row r="5" spans="1:28">
      <c r="A5" s="3" t="s">
        <v>5</v>
      </c>
      <c r="B5" s="3" t="s">
        <v>6</v>
      </c>
      <c r="C5" s="9" t="s">
        <v>7</v>
      </c>
      <c r="D5" s="9" t="s">
        <v>8</v>
      </c>
      <c r="E5" s="9" t="s">
        <v>9</v>
      </c>
      <c r="F5" s="9" t="s">
        <v>10</v>
      </c>
      <c r="G5" s="9" t="s">
        <v>11</v>
      </c>
      <c r="H5" s="9" t="s">
        <v>12</v>
      </c>
      <c r="I5" s="9" t="s">
        <v>13</v>
      </c>
      <c r="J5" s="9" t="s">
        <v>14</v>
      </c>
      <c r="K5" s="9" t="s">
        <v>15</v>
      </c>
      <c r="L5" s="9" t="s">
        <v>16</v>
      </c>
      <c r="M5" s="9" t="s">
        <v>17</v>
      </c>
      <c r="N5" s="9" t="s">
        <v>18</v>
      </c>
      <c r="O5" s="9" t="s">
        <v>19</v>
      </c>
      <c r="P5" t="s">
        <v>20</v>
      </c>
      <c r="Q5" t="s">
        <v>21</v>
      </c>
      <c r="R5" t="s">
        <v>22</v>
      </c>
      <c r="S5" t="s">
        <v>23</v>
      </c>
      <c r="T5" t="s">
        <v>24</v>
      </c>
      <c r="U5" t="s">
        <v>25</v>
      </c>
      <c r="V5" t="s">
        <v>26</v>
      </c>
      <c r="W5" t="s">
        <v>27</v>
      </c>
      <c r="X5" t="s">
        <v>28</v>
      </c>
      <c r="Y5" t="s">
        <v>29</v>
      </c>
      <c r="Z5" t="s">
        <v>30</v>
      </c>
      <c r="AA5" t="s">
        <v>31</v>
      </c>
      <c r="AB5" t="s">
        <v>32</v>
      </c>
    </row>
    <row r="6" spans="1:28">
      <c r="A6" t="s">
        <v>33</v>
      </c>
      <c r="B6" t="s">
        <v>34</v>
      </c>
      <c r="C6" s="9">
        <v>1</v>
      </c>
      <c r="D6" s="9">
        <v>1</v>
      </c>
      <c r="E6" s="9">
        <v>1</v>
      </c>
      <c r="F6" s="9">
        <v>1</v>
      </c>
      <c r="G6" s="9">
        <v>1</v>
      </c>
      <c r="H6" s="9">
        <v>1</v>
      </c>
      <c r="J6" s="9">
        <v>0.5</v>
      </c>
      <c r="K6" s="9">
        <v>1</v>
      </c>
      <c r="L6" s="9">
        <v>1</v>
      </c>
      <c r="M6" s="9">
        <v>1</v>
      </c>
      <c r="N6" s="9">
        <v>1</v>
      </c>
      <c r="O6" s="9">
        <v>1</v>
      </c>
      <c r="P6" s="9">
        <v>1</v>
      </c>
      <c r="Q6" s="9">
        <v>1</v>
      </c>
      <c r="R6" s="9">
        <v>1</v>
      </c>
      <c r="S6" s="9">
        <v>1</v>
      </c>
      <c r="T6" s="9">
        <v>1</v>
      </c>
      <c r="U6" s="9">
        <v>1</v>
      </c>
      <c r="V6" s="9">
        <v>1</v>
      </c>
      <c r="W6" s="9">
        <v>1</v>
      </c>
      <c r="X6" s="9">
        <v>1</v>
      </c>
      <c r="Y6" s="9">
        <v>1</v>
      </c>
      <c r="Z6" s="9">
        <v>1</v>
      </c>
      <c r="AA6" s="9">
        <v>1</v>
      </c>
      <c r="AB6" s="9">
        <v>1</v>
      </c>
    </row>
    <row r="7" spans="1:28">
      <c r="B7" t="s">
        <v>35</v>
      </c>
      <c r="C7" s="9">
        <v>0.95</v>
      </c>
      <c r="D7" s="9">
        <v>0.89999999999999991</v>
      </c>
      <c r="E7" s="9">
        <v>1</v>
      </c>
      <c r="F7" s="9">
        <v>1</v>
      </c>
      <c r="G7" s="9">
        <v>1</v>
      </c>
      <c r="H7" s="9">
        <v>0.7</v>
      </c>
      <c r="J7" s="9">
        <v>0.7</v>
      </c>
      <c r="K7" s="9">
        <v>1</v>
      </c>
      <c r="L7" s="9">
        <v>1</v>
      </c>
      <c r="M7" s="9">
        <v>1</v>
      </c>
      <c r="N7" s="9">
        <v>1</v>
      </c>
      <c r="O7" s="9">
        <v>1</v>
      </c>
      <c r="P7" s="9">
        <v>1</v>
      </c>
      <c r="Q7" s="9">
        <v>1</v>
      </c>
      <c r="R7" s="9">
        <v>1</v>
      </c>
      <c r="S7" s="9">
        <v>1</v>
      </c>
      <c r="T7" s="9">
        <v>1</v>
      </c>
      <c r="U7" s="9">
        <v>1</v>
      </c>
      <c r="V7" s="9">
        <v>1</v>
      </c>
      <c r="W7" s="9">
        <v>1</v>
      </c>
      <c r="X7" s="9">
        <v>1</v>
      </c>
      <c r="Y7" s="9">
        <v>1</v>
      </c>
      <c r="Z7" s="9">
        <v>1</v>
      </c>
      <c r="AA7" s="9">
        <v>1</v>
      </c>
      <c r="AB7" s="9">
        <v>1</v>
      </c>
    </row>
    <row r="8" spans="1:28">
      <c r="B8" t="s">
        <v>36</v>
      </c>
      <c r="C8" s="9">
        <v>1</v>
      </c>
      <c r="D8" s="9">
        <v>1</v>
      </c>
      <c r="E8" s="9">
        <v>1</v>
      </c>
      <c r="F8" s="9">
        <v>1</v>
      </c>
      <c r="G8" s="9">
        <v>1</v>
      </c>
      <c r="H8" s="9">
        <v>1</v>
      </c>
      <c r="J8" s="9">
        <v>1</v>
      </c>
      <c r="K8" s="9">
        <v>1</v>
      </c>
      <c r="L8" s="9">
        <v>1</v>
      </c>
      <c r="M8" s="9">
        <v>1</v>
      </c>
      <c r="N8" s="9">
        <v>1</v>
      </c>
      <c r="O8" s="9">
        <v>1</v>
      </c>
      <c r="P8" s="9">
        <v>1</v>
      </c>
      <c r="Q8" s="9">
        <v>1</v>
      </c>
      <c r="R8" s="9">
        <v>1</v>
      </c>
      <c r="S8" s="9">
        <v>1</v>
      </c>
      <c r="T8" s="9">
        <v>1</v>
      </c>
      <c r="U8" s="9">
        <v>1</v>
      </c>
      <c r="V8" s="9">
        <v>1</v>
      </c>
      <c r="W8" s="9">
        <v>1</v>
      </c>
      <c r="X8" s="9">
        <v>1</v>
      </c>
      <c r="Y8" s="9">
        <v>1</v>
      </c>
      <c r="Z8" s="9">
        <v>1</v>
      </c>
      <c r="AA8" s="9">
        <v>1</v>
      </c>
      <c r="AB8" s="9">
        <v>1</v>
      </c>
    </row>
    <row r="9" spans="1:28">
      <c r="B9" t="s">
        <v>37</v>
      </c>
      <c r="C9" s="9">
        <v>1</v>
      </c>
      <c r="D9" s="9">
        <v>1</v>
      </c>
      <c r="E9" s="9">
        <v>1</v>
      </c>
      <c r="F9" s="9">
        <v>1</v>
      </c>
      <c r="G9" s="9">
        <v>0.5</v>
      </c>
      <c r="H9" s="9">
        <v>0.5</v>
      </c>
      <c r="J9" s="9">
        <v>1</v>
      </c>
      <c r="K9" s="9">
        <v>1</v>
      </c>
      <c r="L9" s="9">
        <v>1</v>
      </c>
      <c r="M9" s="9">
        <v>1</v>
      </c>
      <c r="N9" s="9">
        <v>1</v>
      </c>
      <c r="O9" s="9">
        <v>1</v>
      </c>
      <c r="P9" s="9">
        <v>1</v>
      </c>
      <c r="Q9" s="9">
        <v>1</v>
      </c>
      <c r="R9" s="9">
        <v>1</v>
      </c>
      <c r="S9" s="9">
        <v>1</v>
      </c>
      <c r="T9" s="9">
        <v>1</v>
      </c>
      <c r="U9" s="9">
        <v>1</v>
      </c>
      <c r="V9" s="9">
        <v>1</v>
      </c>
      <c r="W9" s="9">
        <v>1</v>
      </c>
      <c r="X9" s="9">
        <v>1</v>
      </c>
      <c r="Y9" s="9">
        <v>1</v>
      </c>
      <c r="Z9" s="9">
        <v>1</v>
      </c>
      <c r="AA9" s="9">
        <v>1</v>
      </c>
      <c r="AB9" s="9">
        <v>1</v>
      </c>
    </row>
    <row r="10" spans="1:28">
      <c r="B10" t="s">
        <v>38</v>
      </c>
      <c r="C10" s="9">
        <v>1</v>
      </c>
      <c r="D10" s="9">
        <v>1</v>
      </c>
      <c r="E10" s="9">
        <v>1</v>
      </c>
      <c r="F10" s="9">
        <v>1</v>
      </c>
      <c r="G10" s="9">
        <v>1</v>
      </c>
      <c r="H10" s="9">
        <v>1</v>
      </c>
      <c r="J10" s="9">
        <v>1</v>
      </c>
      <c r="K10" s="9">
        <v>1</v>
      </c>
      <c r="L10" s="9">
        <v>1</v>
      </c>
      <c r="M10" s="9">
        <v>1</v>
      </c>
      <c r="N10" s="9">
        <v>1</v>
      </c>
      <c r="O10" s="9">
        <v>1</v>
      </c>
      <c r="P10" s="9">
        <v>1</v>
      </c>
      <c r="Q10" s="9">
        <v>1</v>
      </c>
      <c r="R10" s="9">
        <v>1</v>
      </c>
      <c r="S10" s="9">
        <v>1</v>
      </c>
      <c r="T10" s="9">
        <v>1</v>
      </c>
      <c r="U10" s="9">
        <v>1</v>
      </c>
      <c r="V10" s="9">
        <v>1</v>
      </c>
      <c r="W10" s="9">
        <v>1</v>
      </c>
      <c r="X10" s="9">
        <v>1</v>
      </c>
      <c r="Y10" s="9">
        <v>1</v>
      </c>
      <c r="Z10" s="9">
        <v>1</v>
      </c>
      <c r="AA10" s="9">
        <v>1</v>
      </c>
      <c r="AB10" s="9">
        <v>1</v>
      </c>
    </row>
    <row r="11" spans="1:28">
      <c r="B11" t="s">
        <v>39</v>
      </c>
      <c r="C11" s="9">
        <v>1</v>
      </c>
      <c r="D11" s="9">
        <v>1</v>
      </c>
      <c r="E11" s="9">
        <v>1</v>
      </c>
      <c r="F11" s="9">
        <v>1</v>
      </c>
      <c r="G11" s="9">
        <v>1</v>
      </c>
      <c r="H11" s="9">
        <v>1</v>
      </c>
      <c r="J11" s="9">
        <v>1</v>
      </c>
      <c r="K11" s="9">
        <v>1</v>
      </c>
      <c r="L11" s="9">
        <v>1</v>
      </c>
      <c r="M11" s="9">
        <v>1</v>
      </c>
      <c r="N11" s="9">
        <v>1</v>
      </c>
      <c r="O11" s="9">
        <v>1</v>
      </c>
      <c r="P11" s="9">
        <v>1</v>
      </c>
      <c r="Q11" s="9">
        <v>1</v>
      </c>
      <c r="R11" s="9">
        <v>1</v>
      </c>
      <c r="S11" s="9">
        <v>1</v>
      </c>
      <c r="T11" s="9">
        <v>1</v>
      </c>
      <c r="U11" s="9">
        <v>1</v>
      </c>
      <c r="V11" s="9">
        <v>1</v>
      </c>
      <c r="W11" s="9">
        <v>1</v>
      </c>
      <c r="X11" s="9">
        <v>1</v>
      </c>
      <c r="Y11" s="9">
        <v>1</v>
      </c>
      <c r="Z11" s="9">
        <v>1</v>
      </c>
      <c r="AA11" s="9">
        <v>1</v>
      </c>
      <c r="AB11" s="9">
        <v>1</v>
      </c>
    </row>
    <row r="12" spans="1:28">
      <c r="B12" t="s">
        <v>40</v>
      </c>
      <c r="C12" s="9">
        <v>0.5</v>
      </c>
      <c r="D12" s="9">
        <v>1</v>
      </c>
      <c r="E12" s="9">
        <v>1</v>
      </c>
      <c r="F12" s="9">
        <v>1</v>
      </c>
      <c r="G12" s="9">
        <v>1</v>
      </c>
      <c r="H12" s="9">
        <v>1</v>
      </c>
      <c r="J12" s="9">
        <v>1</v>
      </c>
      <c r="K12" s="9">
        <v>0.8</v>
      </c>
      <c r="L12" s="9">
        <v>0.8</v>
      </c>
      <c r="M12" s="9">
        <v>0.7</v>
      </c>
      <c r="N12" s="9">
        <v>0.7</v>
      </c>
      <c r="O12" s="9">
        <v>0.7</v>
      </c>
      <c r="P12" s="9">
        <v>0.5</v>
      </c>
      <c r="Q12" s="9">
        <v>0.5</v>
      </c>
      <c r="R12" s="9">
        <v>0.5</v>
      </c>
      <c r="S12" s="9">
        <v>0.5</v>
      </c>
      <c r="T12" s="9">
        <v>0.5</v>
      </c>
      <c r="U12" s="9">
        <v>0.5</v>
      </c>
      <c r="V12" s="9">
        <v>0.5</v>
      </c>
      <c r="W12" s="9">
        <v>0.5</v>
      </c>
      <c r="X12" s="9">
        <v>0.5</v>
      </c>
      <c r="Y12" s="9">
        <v>0.5</v>
      </c>
      <c r="Z12" s="9">
        <v>0.5</v>
      </c>
      <c r="AA12" s="9">
        <v>0.5</v>
      </c>
      <c r="AB12" s="9">
        <v>0.5</v>
      </c>
    </row>
    <row r="13" spans="1:28">
      <c r="B13" t="s">
        <v>41</v>
      </c>
      <c r="C13" s="9">
        <v>0.8</v>
      </c>
      <c r="D13" s="9">
        <v>0.8</v>
      </c>
      <c r="E13" s="9">
        <v>0.8</v>
      </c>
      <c r="F13" s="9">
        <v>1</v>
      </c>
      <c r="G13" s="9">
        <v>0.75</v>
      </c>
      <c r="H13" s="9">
        <v>0.75</v>
      </c>
      <c r="J13" s="9">
        <v>0.75</v>
      </c>
      <c r="K13" s="9">
        <v>1</v>
      </c>
      <c r="L13" s="9">
        <v>1</v>
      </c>
      <c r="M13" s="9">
        <v>1</v>
      </c>
      <c r="N13" s="9">
        <v>1</v>
      </c>
      <c r="O13" s="9">
        <v>1</v>
      </c>
      <c r="P13" s="9">
        <v>1</v>
      </c>
      <c r="Q13" s="9">
        <v>1</v>
      </c>
      <c r="R13" s="9">
        <v>1</v>
      </c>
      <c r="S13" s="9">
        <v>1</v>
      </c>
      <c r="T13" s="9">
        <v>1</v>
      </c>
      <c r="U13" s="9">
        <v>1</v>
      </c>
      <c r="V13" s="9">
        <v>1</v>
      </c>
      <c r="W13" s="9">
        <v>1</v>
      </c>
      <c r="X13" s="9">
        <v>1</v>
      </c>
      <c r="Y13" s="9">
        <v>1</v>
      </c>
      <c r="Z13" s="9">
        <v>1</v>
      </c>
      <c r="AA13" s="9">
        <v>1</v>
      </c>
      <c r="AB13" s="9">
        <v>1</v>
      </c>
    </row>
    <row r="14" spans="1:28">
      <c r="B14" t="s">
        <v>42</v>
      </c>
      <c r="J14" s="9">
        <v>0.5</v>
      </c>
      <c r="K14" s="9">
        <v>1</v>
      </c>
      <c r="L14" s="9">
        <v>1</v>
      </c>
      <c r="M14" s="9">
        <v>1</v>
      </c>
      <c r="N14" s="9">
        <v>1</v>
      </c>
      <c r="O14" s="9">
        <v>1</v>
      </c>
      <c r="P14" s="9">
        <v>1</v>
      </c>
      <c r="Q14" s="9">
        <v>1</v>
      </c>
      <c r="R14" s="9">
        <v>1</v>
      </c>
      <c r="S14" s="9">
        <v>1</v>
      </c>
      <c r="T14" s="9">
        <v>1</v>
      </c>
      <c r="U14" s="9">
        <v>1</v>
      </c>
      <c r="V14" s="9">
        <v>1</v>
      </c>
      <c r="W14" s="9">
        <v>1</v>
      </c>
      <c r="X14" s="9">
        <v>1</v>
      </c>
      <c r="Y14" s="9">
        <v>1</v>
      </c>
      <c r="Z14" s="9">
        <v>1</v>
      </c>
      <c r="AA14" s="9">
        <v>1</v>
      </c>
      <c r="AB14" s="9">
        <v>1</v>
      </c>
    </row>
    <row r="15" spans="1:28">
      <c r="A15" t="s">
        <v>43</v>
      </c>
      <c r="B15" t="s">
        <v>44</v>
      </c>
      <c r="C15" s="9">
        <v>1</v>
      </c>
      <c r="D15" s="9">
        <v>1</v>
      </c>
      <c r="E15" s="9">
        <v>1</v>
      </c>
      <c r="F15" s="9">
        <v>1</v>
      </c>
      <c r="G15" s="9">
        <v>1</v>
      </c>
      <c r="H15" s="9">
        <v>1</v>
      </c>
      <c r="J15" s="9">
        <v>1</v>
      </c>
      <c r="K15" s="9">
        <v>1</v>
      </c>
      <c r="L15" s="9">
        <v>1</v>
      </c>
      <c r="M15" s="9">
        <v>1</v>
      </c>
      <c r="N15" s="9">
        <v>1</v>
      </c>
      <c r="O15" s="9">
        <v>1</v>
      </c>
      <c r="P15" s="9">
        <v>1</v>
      </c>
      <c r="Q15" s="9">
        <v>1</v>
      </c>
      <c r="R15" s="9">
        <v>1</v>
      </c>
      <c r="S15" s="9">
        <v>1</v>
      </c>
      <c r="T15" s="9">
        <v>1</v>
      </c>
      <c r="U15" s="9">
        <v>1</v>
      </c>
      <c r="V15" s="9">
        <v>1</v>
      </c>
      <c r="W15" s="9">
        <v>1</v>
      </c>
      <c r="X15" s="9">
        <v>1</v>
      </c>
      <c r="Y15" s="9">
        <v>1</v>
      </c>
      <c r="Z15" s="9">
        <v>1</v>
      </c>
      <c r="AA15" s="9">
        <v>1</v>
      </c>
      <c r="AB15" s="9">
        <v>1</v>
      </c>
    </row>
    <row r="16" spans="1:28">
      <c r="B16" t="s">
        <v>45</v>
      </c>
      <c r="C16" s="9">
        <v>0.8</v>
      </c>
      <c r="D16" s="9">
        <v>0.2</v>
      </c>
      <c r="E16" s="9">
        <v>0.89999999999999991</v>
      </c>
      <c r="F16" s="9">
        <v>0.89999999999999991</v>
      </c>
      <c r="G16" s="9">
        <v>1</v>
      </c>
      <c r="H16" s="9">
        <v>1</v>
      </c>
      <c r="J16" s="9">
        <v>1</v>
      </c>
      <c r="K16" s="9">
        <v>1</v>
      </c>
      <c r="L16" s="9">
        <v>1</v>
      </c>
      <c r="M16" s="9">
        <v>1</v>
      </c>
      <c r="N16" s="9">
        <v>1</v>
      </c>
      <c r="O16" s="9">
        <v>1</v>
      </c>
      <c r="P16" s="9">
        <v>1</v>
      </c>
      <c r="Q16" s="9">
        <v>1</v>
      </c>
      <c r="R16" s="9">
        <v>1</v>
      </c>
      <c r="S16" s="9">
        <v>1</v>
      </c>
      <c r="T16" s="9">
        <v>1</v>
      </c>
      <c r="U16" s="9">
        <v>1</v>
      </c>
      <c r="V16" s="9">
        <v>1</v>
      </c>
      <c r="W16" s="9">
        <v>1</v>
      </c>
      <c r="X16" s="9">
        <v>1</v>
      </c>
      <c r="Y16" s="9">
        <v>1</v>
      </c>
      <c r="Z16" s="9">
        <v>1</v>
      </c>
      <c r="AA16" s="9">
        <v>1</v>
      </c>
      <c r="AB16" s="9">
        <v>1</v>
      </c>
    </row>
    <row r="17" spans="1:28">
      <c r="B17" t="s">
        <v>46</v>
      </c>
      <c r="G17" s="9">
        <v>0.5</v>
      </c>
      <c r="H17" s="9">
        <v>0.5</v>
      </c>
      <c r="J17" s="9">
        <v>0.5</v>
      </c>
      <c r="K17" s="9">
        <v>0.5</v>
      </c>
      <c r="L17" s="9">
        <v>0.8</v>
      </c>
      <c r="M17" s="9">
        <v>0.8</v>
      </c>
      <c r="N17" s="9">
        <v>0.8</v>
      </c>
      <c r="O17" s="9">
        <v>0.8</v>
      </c>
      <c r="P17" s="9">
        <v>0.8</v>
      </c>
      <c r="Q17" s="9">
        <v>0.8</v>
      </c>
      <c r="R17" s="9">
        <v>0.8</v>
      </c>
      <c r="S17" s="9">
        <v>0.8</v>
      </c>
      <c r="T17" s="9">
        <v>0.8</v>
      </c>
      <c r="U17" s="9">
        <v>0.8</v>
      </c>
      <c r="V17" s="9">
        <v>0.8</v>
      </c>
      <c r="W17" s="9">
        <v>0.8</v>
      </c>
      <c r="X17" s="9">
        <v>0.8</v>
      </c>
      <c r="Y17" s="9">
        <v>0.8</v>
      </c>
      <c r="Z17" s="9">
        <v>0.8</v>
      </c>
      <c r="AA17" s="9">
        <v>0.8</v>
      </c>
      <c r="AB17" s="9">
        <v>0.8</v>
      </c>
    </row>
    <row r="18" spans="1:28">
      <c r="B18" t="s">
        <v>47</v>
      </c>
      <c r="C18" s="9">
        <v>1</v>
      </c>
      <c r="D18" s="9">
        <v>1</v>
      </c>
      <c r="E18" s="9">
        <v>0.70000000000000007</v>
      </c>
      <c r="F18" s="9">
        <v>0.9</v>
      </c>
      <c r="G18" s="9">
        <v>0.8</v>
      </c>
      <c r="H18" s="9">
        <v>1</v>
      </c>
      <c r="J18" s="9">
        <v>0.95000000000000007</v>
      </c>
      <c r="K18" s="9">
        <v>1</v>
      </c>
      <c r="L18" s="9">
        <v>1</v>
      </c>
      <c r="M18" s="9">
        <v>1</v>
      </c>
      <c r="N18" s="9">
        <v>1</v>
      </c>
      <c r="O18" s="9">
        <v>1</v>
      </c>
      <c r="P18" s="9">
        <v>1</v>
      </c>
      <c r="Q18" s="9">
        <v>1</v>
      </c>
      <c r="R18" s="9">
        <v>1</v>
      </c>
      <c r="S18" s="9">
        <v>1</v>
      </c>
      <c r="T18" s="9">
        <v>1</v>
      </c>
      <c r="U18" s="9">
        <v>1</v>
      </c>
      <c r="V18" s="9">
        <v>1</v>
      </c>
      <c r="W18" s="9">
        <v>1</v>
      </c>
      <c r="X18" s="9">
        <v>1</v>
      </c>
      <c r="Y18" s="9">
        <v>1</v>
      </c>
      <c r="Z18" s="9">
        <v>1</v>
      </c>
      <c r="AA18" s="9">
        <v>1</v>
      </c>
      <c r="AB18" s="9">
        <v>1</v>
      </c>
    </row>
    <row r="19" spans="1:28">
      <c r="B19" t="s">
        <v>48</v>
      </c>
      <c r="C19" s="9">
        <v>0.6</v>
      </c>
      <c r="D19" s="9">
        <v>0.6</v>
      </c>
      <c r="E19" s="9">
        <v>0.6</v>
      </c>
      <c r="F19" s="9">
        <v>0.6</v>
      </c>
      <c r="G19" s="9">
        <v>0.6</v>
      </c>
      <c r="H19" s="9">
        <v>0.6</v>
      </c>
      <c r="J19" s="9">
        <v>0.6</v>
      </c>
      <c r="K19" s="9">
        <v>1</v>
      </c>
      <c r="L19" s="9">
        <v>1</v>
      </c>
      <c r="M19" s="9">
        <v>1</v>
      </c>
      <c r="N19" s="9">
        <v>1</v>
      </c>
      <c r="O19" s="9">
        <v>1</v>
      </c>
      <c r="P19" s="9">
        <v>0.79999999999999993</v>
      </c>
      <c r="Q19" s="9">
        <v>0.79999999999999993</v>
      </c>
      <c r="R19" s="9">
        <v>0.79999999999999993</v>
      </c>
      <c r="S19" s="9">
        <v>0.79999999999999993</v>
      </c>
      <c r="T19" s="9">
        <v>0.79999999999999993</v>
      </c>
      <c r="U19" s="9">
        <v>0.79999999999999993</v>
      </c>
      <c r="V19" s="9">
        <v>0.79999999999999993</v>
      </c>
      <c r="W19" s="9">
        <v>0.79999999999999993</v>
      </c>
      <c r="X19" s="9">
        <v>0.79999999999999993</v>
      </c>
      <c r="Y19" s="9">
        <v>0.79999999999999993</v>
      </c>
      <c r="Z19" s="9">
        <v>0.79999999999999993</v>
      </c>
      <c r="AA19" s="9">
        <v>0.79999999999999993</v>
      </c>
      <c r="AB19" s="9">
        <v>0.79999999999999993</v>
      </c>
    </row>
    <row r="20" spans="1:28">
      <c r="B20" t="s">
        <v>49</v>
      </c>
      <c r="C20" s="9">
        <v>1</v>
      </c>
      <c r="D20" s="9">
        <v>1</v>
      </c>
      <c r="E20" s="9">
        <v>1</v>
      </c>
      <c r="F20" s="9">
        <v>0.9</v>
      </c>
      <c r="G20" s="9">
        <v>1</v>
      </c>
      <c r="H20" s="9">
        <v>0.79999999999999993</v>
      </c>
      <c r="J20" s="9">
        <v>0.7</v>
      </c>
      <c r="K20" s="9">
        <v>0.75</v>
      </c>
      <c r="L20" s="9">
        <v>0.75</v>
      </c>
      <c r="M20" s="9">
        <v>0.7</v>
      </c>
      <c r="N20" s="9">
        <v>0.75000000000000011</v>
      </c>
      <c r="O20" s="9">
        <v>0.60000000000000009</v>
      </c>
      <c r="P20" s="9">
        <v>0.4</v>
      </c>
      <c r="Q20" s="9">
        <v>0.4</v>
      </c>
      <c r="R20" s="9">
        <v>0.4</v>
      </c>
      <c r="S20" s="9">
        <v>0.4</v>
      </c>
      <c r="T20" s="9">
        <v>0.4</v>
      </c>
      <c r="U20" s="9">
        <v>0.4</v>
      </c>
      <c r="V20" s="9">
        <v>0.4</v>
      </c>
      <c r="W20" s="9">
        <v>0.4</v>
      </c>
      <c r="X20" s="9">
        <v>0.4</v>
      </c>
      <c r="Y20" s="9">
        <v>0.4</v>
      </c>
      <c r="Z20" s="9">
        <v>0.4</v>
      </c>
      <c r="AA20" s="9">
        <v>0.4</v>
      </c>
      <c r="AB20" s="9">
        <v>0.4</v>
      </c>
    </row>
    <row r="21" spans="1:28">
      <c r="B21" t="s">
        <v>50</v>
      </c>
      <c r="C21" s="9">
        <v>1</v>
      </c>
      <c r="D21" s="9">
        <v>1</v>
      </c>
      <c r="E21" s="9">
        <v>1</v>
      </c>
      <c r="F21" s="9">
        <v>1</v>
      </c>
      <c r="G21" s="9">
        <v>1</v>
      </c>
      <c r="H21" s="9">
        <v>1</v>
      </c>
      <c r="J21" s="9">
        <v>1</v>
      </c>
      <c r="K21" s="9">
        <v>1</v>
      </c>
      <c r="L21" s="9">
        <v>1</v>
      </c>
      <c r="M21" s="9">
        <v>1</v>
      </c>
      <c r="N21" s="9">
        <v>1</v>
      </c>
      <c r="O21" s="9">
        <v>1</v>
      </c>
      <c r="P21" s="9">
        <v>1</v>
      </c>
      <c r="Q21" s="9">
        <v>1</v>
      </c>
      <c r="R21" s="9">
        <v>1</v>
      </c>
      <c r="S21" s="9">
        <v>1</v>
      </c>
      <c r="T21" s="9">
        <v>1</v>
      </c>
      <c r="U21" s="9">
        <v>1</v>
      </c>
      <c r="V21" s="9">
        <v>1</v>
      </c>
      <c r="W21" s="9">
        <v>1</v>
      </c>
      <c r="X21" s="9">
        <v>1</v>
      </c>
      <c r="Y21" s="9">
        <v>1</v>
      </c>
      <c r="Z21" s="9">
        <v>1</v>
      </c>
      <c r="AA21" s="9">
        <v>1</v>
      </c>
      <c r="AB21" s="9">
        <v>1</v>
      </c>
    </row>
    <row r="22" spans="1:28">
      <c r="B22" t="s">
        <v>51</v>
      </c>
      <c r="C22" s="9">
        <v>1</v>
      </c>
      <c r="D22" s="9">
        <v>1</v>
      </c>
      <c r="E22" s="9">
        <v>1</v>
      </c>
      <c r="F22" s="9">
        <v>1</v>
      </c>
      <c r="G22" s="9">
        <v>1</v>
      </c>
      <c r="H22" s="9">
        <v>1</v>
      </c>
      <c r="J22" s="9">
        <v>0.5</v>
      </c>
      <c r="K22" s="9">
        <v>1</v>
      </c>
      <c r="L22" s="9">
        <v>1</v>
      </c>
      <c r="M22" s="9">
        <v>1</v>
      </c>
      <c r="N22" s="9">
        <v>1</v>
      </c>
      <c r="O22" s="9">
        <v>1</v>
      </c>
      <c r="P22" s="9">
        <v>1</v>
      </c>
      <c r="Q22" s="9">
        <v>1</v>
      </c>
      <c r="R22" s="9">
        <v>1</v>
      </c>
      <c r="S22" s="9">
        <v>1</v>
      </c>
      <c r="T22" s="9">
        <v>1</v>
      </c>
      <c r="U22" s="9">
        <v>1</v>
      </c>
      <c r="V22" s="9">
        <v>1</v>
      </c>
      <c r="W22" s="9">
        <v>1</v>
      </c>
      <c r="X22" s="9">
        <v>1</v>
      </c>
      <c r="Y22" s="9">
        <v>1</v>
      </c>
      <c r="Z22" s="9">
        <v>1</v>
      </c>
      <c r="AA22" s="9">
        <v>1</v>
      </c>
      <c r="AB22" s="9">
        <v>1</v>
      </c>
    </row>
    <row r="23" spans="1:28">
      <c r="B23" t="s">
        <v>52</v>
      </c>
      <c r="C23" s="9">
        <v>1</v>
      </c>
      <c r="D23" s="9">
        <v>1</v>
      </c>
      <c r="E23" s="9">
        <v>0.6</v>
      </c>
      <c r="F23" s="9">
        <v>0.6</v>
      </c>
      <c r="G23" s="9">
        <v>1</v>
      </c>
      <c r="H23" s="9">
        <v>1</v>
      </c>
      <c r="J23" s="9">
        <v>1</v>
      </c>
      <c r="K23" s="9">
        <v>1</v>
      </c>
      <c r="L23" s="9">
        <v>1</v>
      </c>
      <c r="M23" s="9">
        <v>1</v>
      </c>
      <c r="N23" s="9">
        <v>1</v>
      </c>
      <c r="O23" s="9">
        <v>1</v>
      </c>
      <c r="P23" s="9">
        <v>1</v>
      </c>
      <c r="Q23" s="9">
        <v>1</v>
      </c>
      <c r="R23" s="9">
        <v>1</v>
      </c>
      <c r="S23" s="9">
        <v>1</v>
      </c>
      <c r="T23" s="9">
        <v>1</v>
      </c>
      <c r="U23" s="9">
        <v>1</v>
      </c>
      <c r="V23" s="9">
        <v>1</v>
      </c>
      <c r="W23" s="9">
        <v>1</v>
      </c>
      <c r="X23" s="9">
        <v>1</v>
      </c>
      <c r="Y23" s="9">
        <v>1</v>
      </c>
      <c r="Z23" s="9">
        <v>1</v>
      </c>
      <c r="AA23" s="9">
        <v>1</v>
      </c>
      <c r="AB23" s="9">
        <v>1</v>
      </c>
    </row>
    <row r="24" spans="1:28">
      <c r="B24" t="s">
        <v>53</v>
      </c>
      <c r="C24" s="9">
        <v>0.55000000000000004</v>
      </c>
      <c r="D24" s="9">
        <v>1</v>
      </c>
      <c r="E24" s="9">
        <v>1</v>
      </c>
      <c r="F24" s="9">
        <v>0.8</v>
      </c>
      <c r="G24" s="9">
        <v>1</v>
      </c>
      <c r="H24" s="9">
        <v>1</v>
      </c>
      <c r="J24" s="9">
        <v>1</v>
      </c>
      <c r="K24" s="9">
        <v>1</v>
      </c>
      <c r="L24" s="9">
        <v>1</v>
      </c>
      <c r="M24" s="9">
        <v>1</v>
      </c>
      <c r="N24" s="9">
        <v>1</v>
      </c>
      <c r="O24" s="9">
        <v>1</v>
      </c>
      <c r="P24" s="9">
        <v>0.5</v>
      </c>
      <c r="Q24" s="9">
        <v>0.5</v>
      </c>
      <c r="R24" s="9">
        <v>0.5</v>
      </c>
      <c r="S24" s="9">
        <v>0.5</v>
      </c>
      <c r="T24" s="9">
        <v>0.5</v>
      </c>
      <c r="U24" s="9">
        <v>0.5</v>
      </c>
      <c r="V24" s="9">
        <v>0.5</v>
      </c>
      <c r="W24" s="9">
        <v>0.5</v>
      </c>
      <c r="X24" s="9">
        <v>0.5</v>
      </c>
      <c r="Y24" s="9">
        <v>0.5</v>
      </c>
      <c r="Z24" s="9">
        <v>0.5</v>
      </c>
      <c r="AA24" s="9">
        <v>0.5</v>
      </c>
      <c r="AB24" s="9">
        <v>0.5</v>
      </c>
    </row>
    <row r="25" spans="1:28">
      <c r="A25" t="s">
        <v>54</v>
      </c>
      <c r="B25" t="s">
        <v>55</v>
      </c>
      <c r="E25" s="9">
        <v>0.8</v>
      </c>
      <c r="F25" s="9">
        <v>0.79999999999999993</v>
      </c>
      <c r="G25" s="9">
        <v>0.6</v>
      </c>
      <c r="H25" s="9">
        <v>0.30000000000000004</v>
      </c>
      <c r="J25" s="9">
        <v>0.79999999999999993</v>
      </c>
      <c r="K25" s="9">
        <v>0.85</v>
      </c>
      <c r="L25" s="9">
        <v>1</v>
      </c>
      <c r="M25" s="9">
        <v>1</v>
      </c>
      <c r="N25" s="9">
        <v>1</v>
      </c>
      <c r="O25" s="9">
        <v>1</v>
      </c>
      <c r="P25" s="9">
        <v>0.8</v>
      </c>
      <c r="Q25" s="9">
        <v>0.8</v>
      </c>
      <c r="R25" s="9">
        <v>0.8</v>
      </c>
      <c r="S25" s="9">
        <v>1</v>
      </c>
      <c r="T25" s="9">
        <v>1</v>
      </c>
      <c r="U25" s="9">
        <v>0.85</v>
      </c>
      <c r="V25" s="9">
        <v>0.85</v>
      </c>
      <c r="W25" s="9">
        <v>0.85</v>
      </c>
      <c r="X25" s="9">
        <v>1</v>
      </c>
      <c r="Y25" s="9">
        <v>1</v>
      </c>
      <c r="Z25" s="9">
        <v>1</v>
      </c>
      <c r="AA25" s="9">
        <v>1</v>
      </c>
      <c r="AB25" s="9">
        <v>1</v>
      </c>
    </row>
    <row r="26" spans="1:28">
      <c r="B26" t="s">
        <v>56</v>
      </c>
      <c r="E26" s="9">
        <v>0.7</v>
      </c>
      <c r="F26" s="9">
        <v>0.7</v>
      </c>
      <c r="G26" s="9">
        <v>0.7</v>
      </c>
      <c r="H26" s="9">
        <v>0.2</v>
      </c>
      <c r="J26" s="9">
        <v>0.7</v>
      </c>
      <c r="K26" s="9">
        <v>0.81</v>
      </c>
      <c r="L26" s="9">
        <v>1</v>
      </c>
      <c r="M26" s="9">
        <v>1</v>
      </c>
      <c r="N26" s="9">
        <v>1</v>
      </c>
      <c r="O26" s="9">
        <v>1</v>
      </c>
      <c r="P26" s="9">
        <v>1</v>
      </c>
      <c r="Q26" s="9">
        <v>1</v>
      </c>
      <c r="R26" s="9">
        <v>1</v>
      </c>
      <c r="S26" s="9">
        <v>0.90000000000000013</v>
      </c>
      <c r="T26" s="9">
        <v>0.90000000000000013</v>
      </c>
      <c r="U26" s="9">
        <v>0.90000000000000013</v>
      </c>
      <c r="V26" s="9">
        <v>0.90000000000000013</v>
      </c>
      <c r="W26" s="9">
        <v>0.90000000000000013</v>
      </c>
      <c r="X26" s="9">
        <v>0.8</v>
      </c>
      <c r="Y26" s="9">
        <v>0.8</v>
      </c>
      <c r="Z26" s="9">
        <v>0.8</v>
      </c>
      <c r="AA26" s="9">
        <v>0.8</v>
      </c>
      <c r="AB26" s="9">
        <v>0.8</v>
      </c>
    </row>
    <row r="27" spans="1:28">
      <c r="B27" t="s">
        <v>57</v>
      </c>
      <c r="E27" s="9">
        <v>1</v>
      </c>
      <c r="F27" s="9">
        <v>1</v>
      </c>
      <c r="G27" s="9">
        <v>1</v>
      </c>
      <c r="H27" s="9">
        <v>1</v>
      </c>
      <c r="J27" s="9">
        <v>1</v>
      </c>
      <c r="K27" s="9">
        <v>1</v>
      </c>
      <c r="L27" s="9">
        <v>1</v>
      </c>
      <c r="M27" s="9">
        <v>1</v>
      </c>
      <c r="N27" s="9">
        <v>1</v>
      </c>
      <c r="O27" s="9">
        <v>1</v>
      </c>
      <c r="P27" s="9">
        <v>0.9</v>
      </c>
      <c r="Q27" s="9">
        <v>0.9</v>
      </c>
      <c r="R27" s="9">
        <v>0.9</v>
      </c>
      <c r="S27" s="9">
        <v>0.9</v>
      </c>
      <c r="T27" s="9">
        <v>0.9</v>
      </c>
      <c r="U27" s="9">
        <v>0.9</v>
      </c>
      <c r="V27" s="9">
        <v>0.9</v>
      </c>
      <c r="W27" s="9">
        <v>0.9</v>
      </c>
      <c r="X27" s="9">
        <v>0.9</v>
      </c>
      <c r="Y27" s="9">
        <v>0.9</v>
      </c>
      <c r="Z27" s="9">
        <v>0.9</v>
      </c>
      <c r="AA27" s="9">
        <v>0.9</v>
      </c>
      <c r="AB27" s="9">
        <v>0.9</v>
      </c>
    </row>
    <row r="28" spans="1:28">
      <c r="B28" t="s">
        <v>58</v>
      </c>
      <c r="E28" s="9">
        <v>0.5</v>
      </c>
      <c r="F28" s="9">
        <v>0.7</v>
      </c>
      <c r="G28" s="9">
        <v>0.7</v>
      </c>
      <c r="H28" s="9">
        <v>0.7</v>
      </c>
      <c r="J28" s="9">
        <v>0.7</v>
      </c>
      <c r="K28" s="9">
        <v>0.92</v>
      </c>
      <c r="L28" s="9">
        <v>0.92</v>
      </c>
      <c r="M28" s="9">
        <v>0.92</v>
      </c>
      <c r="N28" s="9">
        <v>0.92</v>
      </c>
      <c r="O28" s="9">
        <v>0.92</v>
      </c>
      <c r="P28" s="9">
        <v>0.82000000000000006</v>
      </c>
      <c r="Q28" s="9">
        <v>0.82000000000000006</v>
      </c>
      <c r="R28" s="9">
        <v>0.82000000000000006</v>
      </c>
      <c r="S28" s="9">
        <v>0.82000000000000006</v>
      </c>
      <c r="T28" s="9">
        <v>0.82000000000000006</v>
      </c>
      <c r="U28" s="9">
        <v>0.82000000000000006</v>
      </c>
      <c r="V28" s="9">
        <v>0.82000000000000006</v>
      </c>
      <c r="W28" s="9">
        <v>0.82000000000000006</v>
      </c>
      <c r="X28" s="9">
        <v>0.82000000000000006</v>
      </c>
      <c r="Y28" s="9">
        <v>0.82000000000000006</v>
      </c>
      <c r="Z28" s="9">
        <v>0.82000000000000006</v>
      </c>
      <c r="AA28" s="9">
        <v>0.82000000000000006</v>
      </c>
      <c r="AB28" s="9">
        <v>0.82000000000000006</v>
      </c>
    </row>
    <row r="29" spans="1:28">
      <c r="B29" t="s">
        <v>59</v>
      </c>
      <c r="E29" s="9">
        <v>0.79999999999999993</v>
      </c>
      <c r="F29" s="9">
        <v>1</v>
      </c>
      <c r="G29" s="9">
        <v>1</v>
      </c>
      <c r="H29" s="9">
        <v>0.7</v>
      </c>
      <c r="J29" s="9">
        <v>0.5</v>
      </c>
      <c r="K29" s="9">
        <v>0.92</v>
      </c>
      <c r="L29" s="9">
        <v>0.82000000000000006</v>
      </c>
      <c r="M29" s="9">
        <v>0.82000000000000006</v>
      </c>
      <c r="N29" s="9">
        <v>0.82000000000000006</v>
      </c>
      <c r="O29" s="9">
        <v>0.82000000000000006</v>
      </c>
      <c r="P29" s="9">
        <v>0.92</v>
      </c>
      <c r="Q29" s="9">
        <v>1</v>
      </c>
      <c r="R29" s="9">
        <v>1</v>
      </c>
      <c r="S29" s="9">
        <v>1</v>
      </c>
      <c r="T29" s="9">
        <v>1</v>
      </c>
      <c r="U29" s="9">
        <v>0.91999999999999993</v>
      </c>
      <c r="V29" s="9">
        <v>0.91999999999999993</v>
      </c>
      <c r="W29" s="9">
        <v>0.91999999999999993</v>
      </c>
      <c r="X29" s="9">
        <v>0.91999999999999993</v>
      </c>
      <c r="Y29" s="9">
        <v>0.91999999999999993</v>
      </c>
      <c r="Z29" s="9">
        <v>0.91999999999999993</v>
      </c>
      <c r="AA29" s="9">
        <v>0.91999999999999993</v>
      </c>
      <c r="AB29" s="9">
        <v>0.91999999999999993</v>
      </c>
    </row>
    <row r="30" spans="1:28">
      <c r="B30" t="s">
        <v>60</v>
      </c>
      <c r="E30" s="9">
        <v>0.7</v>
      </c>
      <c r="F30" s="9">
        <v>0.9</v>
      </c>
      <c r="G30" s="9">
        <v>0.9</v>
      </c>
      <c r="H30" s="9">
        <v>0.6</v>
      </c>
      <c r="J30" s="9">
        <v>1</v>
      </c>
      <c r="K30" s="9">
        <v>1</v>
      </c>
      <c r="L30" s="9">
        <v>0.94000000000000006</v>
      </c>
      <c r="M30" s="9">
        <v>0.94000000000000006</v>
      </c>
      <c r="N30" s="9">
        <v>0.94000000000000006</v>
      </c>
      <c r="O30" s="9">
        <v>0.94000000000000006</v>
      </c>
      <c r="P30" s="9">
        <v>0.94000000000000006</v>
      </c>
      <c r="Q30" s="9">
        <v>0.94000000000000006</v>
      </c>
      <c r="R30" s="9">
        <v>0.94000000000000006</v>
      </c>
      <c r="S30" s="9">
        <v>0.94000000000000006</v>
      </c>
      <c r="T30" s="9">
        <v>0.94000000000000006</v>
      </c>
      <c r="U30" s="9">
        <v>0.94000000000000006</v>
      </c>
      <c r="V30" s="9">
        <v>0.94000000000000006</v>
      </c>
      <c r="W30" s="9">
        <v>0.94000000000000006</v>
      </c>
      <c r="X30" s="9">
        <v>0.94000000000000006</v>
      </c>
      <c r="Y30" s="9">
        <v>0.94000000000000006</v>
      </c>
      <c r="Z30" s="9">
        <v>0.94000000000000006</v>
      </c>
      <c r="AA30" s="9">
        <v>0.94000000000000006</v>
      </c>
      <c r="AB30" s="9">
        <v>0.94000000000000006</v>
      </c>
    </row>
    <row r="31" spans="1:28">
      <c r="B31" t="s">
        <v>61</v>
      </c>
      <c r="E31" s="9">
        <v>0.9</v>
      </c>
      <c r="F31" s="9">
        <v>0.89999999999999991</v>
      </c>
      <c r="G31" s="9">
        <v>0.79999999999999993</v>
      </c>
      <c r="H31" s="9">
        <v>0.7</v>
      </c>
      <c r="J31" s="9">
        <v>0.7</v>
      </c>
      <c r="K31" s="9">
        <v>0.91</v>
      </c>
      <c r="L31" s="9">
        <v>0.91</v>
      </c>
      <c r="M31" s="9">
        <v>0.91</v>
      </c>
      <c r="N31" s="9">
        <v>0.91</v>
      </c>
      <c r="O31" s="9">
        <v>0.91</v>
      </c>
      <c r="P31" s="9">
        <v>0.91</v>
      </c>
      <c r="Q31" s="9">
        <v>0.91</v>
      </c>
      <c r="R31" s="9">
        <v>0.91</v>
      </c>
      <c r="S31" s="9">
        <v>0.91</v>
      </c>
      <c r="T31" s="9">
        <v>0.91</v>
      </c>
      <c r="U31" s="9">
        <v>0.91</v>
      </c>
      <c r="V31" s="9">
        <v>0.91</v>
      </c>
      <c r="W31" s="9">
        <v>0.91</v>
      </c>
      <c r="X31" s="9">
        <v>0.91</v>
      </c>
      <c r="Y31" s="9">
        <v>0.91</v>
      </c>
      <c r="Z31" s="9">
        <v>0.91</v>
      </c>
      <c r="AA31" s="9">
        <v>0.91</v>
      </c>
      <c r="AB31" s="9">
        <v>0.91</v>
      </c>
    </row>
    <row r="32" spans="1:28">
      <c r="A32" t="s">
        <v>62</v>
      </c>
      <c r="B32" t="s">
        <v>62</v>
      </c>
    </row>
  </sheetData>
  <conditionalFormatting pivot="1" sqref="C6:AB13 C15:AB24 C25:AB30">
    <cfRule type="colorScale" priority="4">
      <colorScale>
        <cfvo type="min"/>
        <cfvo type="percentile" val="50"/>
        <cfvo type="max"/>
        <color rgb="FFF8696B"/>
        <color rgb="FFFFEB84"/>
        <color rgb="FF63BE7B"/>
      </colorScale>
    </cfRule>
  </conditionalFormatting>
  <conditionalFormatting pivot="1">
    <cfRule type="colorScale" priority="3">
      <colorScale>
        <cfvo type="min"/>
        <cfvo type="percentile" val="50"/>
        <cfvo type="max"/>
        <color rgb="FFF8696B"/>
        <color rgb="FFFFEB84"/>
        <color rgb="FF63BE7B"/>
      </colorScale>
    </cfRule>
  </conditionalFormatting>
  <conditionalFormatting pivot="1" sqref="C6:D13 C15:D16">
    <cfRule type="colorScale" priority="2">
      <colorScale>
        <cfvo type="min"/>
        <cfvo type="percentile" val="50"/>
        <cfvo type="max"/>
        <color rgb="FFF8696B"/>
        <color rgb="FFFFEB84"/>
        <color rgb="FF63BE7B"/>
      </colorScale>
    </cfRule>
  </conditionalFormatting>
  <conditionalFormatting pivot="1" sqref="C31:AB3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BI116"/>
  <sheetViews>
    <sheetView zoomScaleNormal="100" workbookViewId="0">
      <pane xSplit="2" topLeftCell="K1" activePane="topRight" state="frozen"/>
      <selection activeCell="A2" sqref="A2"/>
      <selection pane="topRight" activeCell="T116" sqref="T116"/>
    </sheetView>
  </sheetViews>
  <sheetFormatPr defaultColWidth="10.875" defaultRowHeight="15.75" outlineLevelCol="1"/>
  <cols>
    <col min="1" max="1" width="9.625" customWidth="1"/>
    <col min="2" max="2" width="20.625" customWidth="1"/>
    <col min="3" max="4" width="20.375" customWidth="1" outlineLevel="1"/>
    <col min="5" max="5" width="26.375" bestFit="1" customWidth="1"/>
    <col min="6" max="6" width="19.125" customWidth="1"/>
    <col min="7" max="7" width="7.5" bestFit="1" customWidth="1"/>
    <col min="8" max="8" width="28.875" customWidth="1"/>
    <col min="9" max="9" width="33.625" style="26" customWidth="1" outlineLevel="1"/>
    <col min="10" max="10" width="11.125" customWidth="1"/>
    <col min="11" max="30" width="9.5" customWidth="1"/>
    <col min="31" max="31" width="9.75" customWidth="1"/>
    <col min="32" max="61" width="9.5" customWidth="1"/>
  </cols>
  <sheetData>
    <row r="1" spans="1:61" s="23" customFormat="1" ht="30">
      <c r="A1" s="20" t="s">
        <v>63</v>
      </c>
      <c r="B1" s="21" t="s">
        <v>6</v>
      </c>
      <c r="C1" s="21" t="s">
        <v>5</v>
      </c>
      <c r="D1" s="21" t="s">
        <v>4</v>
      </c>
      <c r="E1" s="20" t="s">
        <v>64</v>
      </c>
      <c r="F1" s="21" t="s">
        <v>2</v>
      </c>
      <c r="G1" s="21" t="s">
        <v>65</v>
      </c>
      <c r="H1" s="21" t="s">
        <v>0</v>
      </c>
      <c r="I1" s="21" t="s">
        <v>66</v>
      </c>
      <c r="J1" s="22">
        <v>46027</v>
      </c>
      <c r="K1" s="22">
        <f t="shared" ref="K1:M1" si="0">J1+7</f>
        <v>46034</v>
      </c>
      <c r="L1" s="22">
        <f t="shared" si="0"/>
        <v>46041</v>
      </c>
      <c r="M1" s="22">
        <f t="shared" si="0"/>
        <v>46048</v>
      </c>
      <c r="N1" s="22">
        <f t="shared" ref="N1" si="1">M1+7</f>
        <v>46055</v>
      </c>
      <c r="O1" s="22">
        <f t="shared" ref="O1" si="2">N1+7</f>
        <v>46062</v>
      </c>
      <c r="P1" s="22">
        <f t="shared" ref="P1" si="3">O1+7</f>
        <v>46069</v>
      </c>
      <c r="Q1" s="22">
        <f t="shared" ref="Q1" si="4">P1+7</f>
        <v>46076</v>
      </c>
      <c r="R1" s="22">
        <f t="shared" ref="R1" si="5">Q1+7</f>
        <v>46083</v>
      </c>
      <c r="S1" s="22">
        <f t="shared" ref="S1" si="6">R1+7</f>
        <v>46090</v>
      </c>
      <c r="T1" s="22">
        <f t="shared" ref="T1" si="7">S1+7</f>
        <v>46097</v>
      </c>
      <c r="U1" s="22">
        <f t="shared" ref="U1" si="8">T1+7</f>
        <v>46104</v>
      </c>
      <c r="V1" s="22">
        <f t="shared" ref="V1" si="9">U1+7</f>
        <v>46111</v>
      </c>
      <c r="W1" s="22">
        <f t="shared" ref="W1" si="10">V1+7</f>
        <v>46118</v>
      </c>
      <c r="X1" s="22">
        <f t="shared" ref="X1" si="11">W1+7</f>
        <v>46125</v>
      </c>
      <c r="Y1" s="22">
        <f t="shared" ref="Y1" si="12">X1+7</f>
        <v>46132</v>
      </c>
      <c r="Z1" s="22">
        <f t="shared" ref="Z1:AA1" si="13">Y1+7</f>
        <v>46139</v>
      </c>
      <c r="AA1" s="22">
        <f t="shared" si="13"/>
        <v>46146</v>
      </c>
      <c r="AB1" s="22">
        <f t="shared" ref="AB1" si="14">AA1+7</f>
        <v>46153</v>
      </c>
      <c r="AC1" s="22">
        <f t="shared" ref="AC1" si="15">AB1+7</f>
        <v>46160</v>
      </c>
      <c r="AD1" s="22">
        <f t="shared" ref="AD1" si="16">AC1+7</f>
        <v>46167</v>
      </c>
      <c r="AE1" s="22">
        <f t="shared" ref="AE1" si="17">AD1+7</f>
        <v>46174</v>
      </c>
      <c r="AF1" s="22">
        <f t="shared" ref="AF1" si="18">AE1+7</f>
        <v>46181</v>
      </c>
      <c r="AG1" s="22">
        <f t="shared" ref="AG1" si="19">AF1+7</f>
        <v>46188</v>
      </c>
      <c r="AH1" s="22">
        <f t="shared" ref="AH1" si="20">AG1+7</f>
        <v>46195</v>
      </c>
      <c r="AI1" s="22">
        <f t="shared" ref="AI1" si="21">AH1+7</f>
        <v>46202</v>
      </c>
      <c r="AJ1" s="22">
        <f t="shared" ref="AJ1" si="22">AI1+7</f>
        <v>46209</v>
      </c>
      <c r="AK1" s="22">
        <f t="shared" ref="AK1" si="23">AJ1+7</f>
        <v>46216</v>
      </c>
      <c r="AL1" s="22">
        <f t="shared" ref="AL1" si="24">AK1+7</f>
        <v>46223</v>
      </c>
      <c r="AM1" s="22">
        <f t="shared" ref="AM1" si="25">AL1+7</f>
        <v>46230</v>
      </c>
      <c r="AN1" s="22">
        <f t="shared" ref="AN1" si="26">AM1+7</f>
        <v>46237</v>
      </c>
      <c r="AO1" s="22">
        <f t="shared" ref="AO1" si="27">AN1+7</f>
        <v>46244</v>
      </c>
      <c r="AP1" s="22">
        <f t="shared" ref="AP1" si="28">AO1+7</f>
        <v>46251</v>
      </c>
      <c r="AQ1" s="22">
        <f t="shared" ref="AQ1" si="29">AP1+7</f>
        <v>46258</v>
      </c>
      <c r="AR1" s="22">
        <f t="shared" ref="AR1" si="30">AQ1+7</f>
        <v>46265</v>
      </c>
      <c r="AS1" s="22">
        <f t="shared" ref="AS1" si="31">AR1+7</f>
        <v>46272</v>
      </c>
      <c r="AT1" s="22">
        <f t="shared" ref="AT1" si="32">AS1+7</f>
        <v>46279</v>
      </c>
      <c r="AU1" s="22">
        <f t="shared" ref="AU1" si="33">AT1+7</f>
        <v>46286</v>
      </c>
      <c r="AV1" s="22">
        <f t="shared" ref="AV1" si="34">AU1+7</f>
        <v>46293</v>
      </c>
      <c r="AW1" s="22">
        <f t="shared" ref="AW1" si="35">AV1+7</f>
        <v>46300</v>
      </c>
      <c r="AX1" s="22">
        <f t="shared" ref="AX1" si="36">AW1+7</f>
        <v>46307</v>
      </c>
      <c r="AY1" s="22">
        <f t="shared" ref="AY1" si="37">AX1+7</f>
        <v>46314</v>
      </c>
      <c r="AZ1" s="22">
        <f t="shared" ref="AZ1" si="38">AY1+7</f>
        <v>46321</v>
      </c>
      <c r="BA1" s="22">
        <f t="shared" ref="BA1" si="39">AZ1+7</f>
        <v>46328</v>
      </c>
      <c r="BB1" s="22">
        <f t="shared" ref="BB1" si="40">BA1+7</f>
        <v>46335</v>
      </c>
      <c r="BC1" s="22">
        <f t="shared" ref="BC1" si="41">BB1+7</f>
        <v>46342</v>
      </c>
      <c r="BD1" s="22">
        <f t="shared" ref="BD1" si="42">BC1+7</f>
        <v>46349</v>
      </c>
      <c r="BE1" s="22">
        <f t="shared" ref="BE1" si="43">BD1+7</f>
        <v>46356</v>
      </c>
      <c r="BF1" s="22">
        <f t="shared" ref="BF1" si="44">BE1+7</f>
        <v>46363</v>
      </c>
      <c r="BG1" s="22">
        <f t="shared" ref="BG1" si="45">BF1+7</f>
        <v>46370</v>
      </c>
      <c r="BH1" s="22">
        <f t="shared" ref="BH1" si="46">BG1+7</f>
        <v>46377</v>
      </c>
      <c r="BI1" s="22">
        <f t="shared" ref="BI1" si="47">BH1+7</f>
        <v>46384</v>
      </c>
    </row>
    <row r="2" spans="1:61" s="1" customFormat="1">
      <c r="A2" s="13" t="s">
        <v>67</v>
      </c>
      <c r="B2" s="10" t="str">
        <f>IF(A2="","",VLOOKUP(A2,'DS Nhân viên'!B:C,2,FALSE))</f>
        <v>Trịnh Ngọc Tâm</v>
      </c>
      <c r="C2" s="11" t="str">
        <f>IF(A2="","",VLOOKUP(A2,'DS Nhân viên'!B:D,3,FALSE))</f>
        <v>P.Kỹ thuật IBS</v>
      </c>
      <c r="D2" s="11" t="str">
        <f>IF(A2="","",VLOOKUP(A2,'DS Nhân viên'!$B:$F,5,FALSE))</f>
        <v>Chính thức</v>
      </c>
      <c r="E2" s="71" t="s">
        <v>68</v>
      </c>
      <c r="F2" s="12" t="str">
        <f>IF($E2="","",VLOOKUP($E2,'DS Dự án'!$B:$F,2,FALSE))</f>
        <v>B_MB_ARCHIVE</v>
      </c>
      <c r="G2" s="10" t="str">
        <f>IF($E2="","",VLOOKUP($E2,'DS Dự án'!$B:$F,4,FALSE))</f>
        <v>NgocDH</v>
      </c>
      <c r="H2" s="10" t="str">
        <f>IF($E2="","",VLOOKUP(E2,'DS Dự án'!$B:$F,5,0))</f>
        <v>Đang thực hiện (Đã có hợp đồng)</v>
      </c>
      <c r="I2" s="28" t="str">
        <f t="shared" ref="I2:I27" si="48">A2&amp;E2</f>
        <v>tamtnB_MB_ARCHIVE</v>
      </c>
      <c r="J2" s="25">
        <v>0.8</v>
      </c>
      <c r="K2" s="25">
        <v>0.8</v>
      </c>
      <c r="L2" s="25">
        <v>0.8</v>
      </c>
      <c r="M2" s="25">
        <v>0.8</v>
      </c>
      <c r="N2" s="25">
        <v>0.35</v>
      </c>
      <c r="O2" s="25">
        <v>0.35</v>
      </c>
      <c r="P2" s="25"/>
      <c r="Q2" s="25">
        <v>0.35</v>
      </c>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row>
    <row r="3" spans="1:61" s="1" customFormat="1">
      <c r="A3" s="13" t="s">
        <v>69</v>
      </c>
      <c r="B3" s="10" t="str">
        <f>IF(A3="","",VLOOKUP(A3,'DS Nhân viên'!B:C,2,FALSE))</f>
        <v>Dương Hồng Ngọc</v>
      </c>
      <c r="C3" s="11" t="str">
        <f>IF(A3="","",VLOOKUP(A3,'DS Nhân viên'!B:D,3,FALSE))</f>
        <v>P.Nghiệp vụ IBS</v>
      </c>
      <c r="D3" s="11" t="str">
        <f>IF(A3="","",VLOOKUP(A3,'DS Nhân viên'!$B:$F,5,FALSE))</f>
        <v>Chính thức</v>
      </c>
      <c r="E3" s="51" t="s">
        <v>68</v>
      </c>
      <c r="F3" s="12" t="str">
        <f>IF($E3="","",VLOOKUP($E3,'DS Dự án'!$B:$F,2,FALSE))</f>
        <v>B_MB_ARCHIVE</v>
      </c>
      <c r="G3" s="10" t="str">
        <f>IF($E3="","",VLOOKUP($E3,'DS Dự án'!$B:$F,4,FALSE))</f>
        <v>NgocDH</v>
      </c>
      <c r="H3" s="10" t="str">
        <f>IF($E3="","",VLOOKUP(E3,'DS Dự án'!$B:$F,5,0))</f>
        <v>Đang thực hiện (Đã có hợp đồng)</v>
      </c>
      <c r="I3" s="28" t="str">
        <f t="shared" si="48"/>
        <v>ngocdhB_MB_ARCHIVE</v>
      </c>
      <c r="J3" s="25">
        <v>0.3</v>
      </c>
      <c r="K3" s="25">
        <v>0.1</v>
      </c>
      <c r="L3" s="25">
        <v>0.1</v>
      </c>
      <c r="M3" s="25">
        <v>0.1</v>
      </c>
      <c r="N3" s="25">
        <v>0.1</v>
      </c>
      <c r="O3" s="25">
        <v>0.1</v>
      </c>
      <c r="P3" s="25"/>
      <c r="Q3" s="25">
        <v>0.1</v>
      </c>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row>
    <row r="4" spans="1:61" s="1" customFormat="1">
      <c r="A4" s="13" t="s">
        <v>70</v>
      </c>
      <c r="B4" s="10" t="str">
        <f>IF(A4="","",VLOOKUP(A4,'DS Nhân viên'!B:C,2,FALSE))</f>
        <v>Lê Minh Long</v>
      </c>
      <c r="C4" s="11" t="str">
        <f>IF(A4="","",VLOOKUP(A4,'DS Nhân viên'!B:D,3,FALSE))</f>
        <v>P.Kỹ thuật IBS</v>
      </c>
      <c r="D4" s="57" t="str">
        <f>IF(A4="","",VLOOKUP(A4,'DS Nhân viên'!$B:$F,5,FALSE))</f>
        <v>Học việc</v>
      </c>
      <c r="E4" s="52" t="s">
        <v>68</v>
      </c>
      <c r="F4" s="58" t="str">
        <f>IF($E4="","",VLOOKUP($E4,'DS Dự án'!$B:$F,2,FALSE))</f>
        <v>B_MB_ARCHIVE</v>
      </c>
      <c r="G4" s="10" t="str">
        <f>IF($E4="","",VLOOKUP($E4,'DS Dự án'!$B:$F,4,FALSE))</f>
        <v>NgocDH</v>
      </c>
      <c r="H4" s="10" t="str">
        <f>IF($E4="","",VLOOKUP(E4,'DS Dự án'!$B:$F,5,0))</f>
        <v>Đang thực hiện (Đã có hợp đồng)</v>
      </c>
      <c r="I4" s="28" t="str">
        <f t="shared" si="48"/>
        <v>longlmB_MB_ARCHIVE</v>
      </c>
      <c r="J4" s="25">
        <v>1</v>
      </c>
      <c r="K4" s="25">
        <v>1</v>
      </c>
      <c r="L4" s="25">
        <v>1</v>
      </c>
      <c r="M4" s="25">
        <v>1</v>
      </c>
      <c r="N4" s="25">
        <v>0.5</v>
      </c>
      <c r="O4" s="25">
        <v>0.5</v>
      </c>
      <c r="P4" s="25"/>
      <c r="Q4" s="25">
        <v>1</v>
      </c>
      <c r="R4" s="25">
        <v>1</v>
      </c>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row>
    <row r="5" spans="1:61" s="1" customFormat="1">
      <c r="A5" s="13" t="s">
        <v>71</v>
      </c>
      <c r="B5" s="10" t="str">
        <f>IF(A5="","",VLOOKUP(A5,'DS Nhân viên'!B:C,2,FALSE))</f>
        <v>Lê Chí Công</v>
      </c>
      <c r="C5" s="11" t="str">
        <f>IF(A5="","",VLOOKUP(A5,'DS Nhân viên'!B:D,3,FALSE))</f>
        <v>P.Kỹ thuật IBS</v>
      </c>
      <c r="D5" s="11" t="str">
        <f>IF(A5="","",VLOOKUP(A5,'DS Nhân viên'!$B:$F,5,FALSE))</f>
        <v>Chính thức</v>
      </c>
      <c r="E5" s="62" t="s">
        <v>68</v>
      </c>
      <c r="F5" s="12" t="str">
        <f>IF($E5="","",VLOOKUP($E5,'DS Dự án'!$B:$F,2,FALSE))</f>
        <v>B_MB_ARCHIVE</v>
      </c>
      <c r="G5" s="10" t="str">
        <f>IF($E5="","",VLOOKUP($E5,'DS Dự án'!$B:$F,4,FALSE))</f>
        <v>NgocDH</v>
      </c>
      <c r="H5" s="10" t="str">
        <f>IF($E5="","",VLOOKUP(E5,'DS Dự án'!$B:$F,5,0))</f>
        <v>Đang thực hiện (Đã có hợp đồng)</v>
      </c>
      <c r="I5" s="28" t="str">
        <f t="shared" si="48"/>
        <v>conglcB_MB_ARCHIVE</v>
      </c>
      <c r="J5" s="25">
        <v>0.25</v>
      </c>
      <c r="K5" s="25">
        <v>0.5</v>
      </c>
      <c r="L5" s="25">
        <v>0.3</v>
      </c>
      <c r="M5" s="25">
        <v>0.25</v>
      </c>
      <c r="N5" s="25">
        <v>0.3</v>
      </c>
      <c r="O5" s="25">
        <v>0.3</v>
      </c>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row>
    <row r="6" spans="1:61" s="1" customFormat="1">
      <c r="A6" s="13" t="s">
        <v>72</v>
      </c>
      <c r="B6" s="10" t="str">
        <f>IF(A6="","",VLOOKUP(A6,'DS Nhân viên'!B:C,2,FALSE))</f>
        <v>Nguyễn Mạnh Thắng</v>
      </c>
      <c r="C6" s="11" t="str">
        <f>IF(A6="","",VLOOKUP(A6,'DS Nhân viên'!B:D,3,FALSE))</f>
        <v>P.Nghiệp vụ IBS</v>
      </c>
      <c r="D6" s="11" t="str">
        <f>IF(A6="","",VLOOKUP(A6,'DS Nhân viên'!$B:$F,5,FALSE))</f>
        <v>Chính thức</v>
      </c>
      <c r="E6" s="62" t="s">
        <v>73</v>
      </c>
      <c r="F6" s="12" t="str">
        <f>IF($E6="","",VLOOKUP($E6,'DS Dự án'!$B:$F,2,FALSE))</f>
        <v>B_VNA_RPS</v>
      </c>
      <c r="G6" s="10" t="str">
        <f>IF($E6="","",VLOOKUP($E6,'DS Dự án'!$B:$F,4,FALSE))</f>
        <v>AnhNHT</v>
      </c>
      <c r="H6" s="10" t="str">
        <f>IF($E6="","",VLOOKUP(E6,'DS Dự án'!$B:$F,5,0))</f>
        <v>Đang thực hiện (Đã có hợp đồng)</v>
      </c>
      <c r="I6" s="28" t="str">
        <f t="shared" si="48"/>
        <v>thangnmB_VNA_RPS</v>
      </c>
      <c r="J6" s="25">
        <v>1</v>
      </c>
      <c r="K6" s="25">
        <v>1</v>
      </c>
      <c r="L6" s="25">
        <v>1</v>
      </c>
      <c r="M6" s="25">
        <v>1</v>
      </c>
      <c r="N6" s="25">
        <v>1</v>
      </c>
      <c r="O6" s="25">
        <v>1</v>
      </c>
      <c r="P6" s="25"/>
      <c r="Q6" s="25">
        <v>1</v>
      </c>
      <c r="R6" s="25">
        <v>1</v>
      </c>
      <c r="S6" s="25">
        <v>1</v>
      </c>
      <c r="T6" s="25">
        <v>1</v>
      </c>
      <c r="U6" s="25">
        <v>1</v>
      </c>
      <c r="V6" s="25">
        <v>1</v>
      </c>
      <c r="W6" s="25">
        <v>1</v>
      </c>
      <c r="X6" s="25">
        <v>1</v>
      </c>
      <c r="Y6" s="25">
        <v>1</v>
      </c>
      <c r="Z6" s="25">
        <v>1</v>
      </c>
      <c r="AA6" s="25">
        <v>1</v>
      </c>
      <c r="AB6" s="25">
        <v>1</v>
      </c>
      <c r="AC6" s="25">
        <v>1</v>
      </c>
      <c r="AD6" s="25">
        <v>1</v>
      </c>
      <c r="AE6" s="25">
        <v>1</v>
      </c>
      <c r="AF6" s="25">
        <v>1</v>
      </c>
      <c r="AG6" s="25">
        <v>1</v>
      </c>
      <c r="AH6" s="25">
        <v>1</v>
      </c>
      <c r="AI6" s="25">
        <v>1</v>
      </c>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row>
    <row r="7" spans="1:61" s="1" customFormat="1">
      <c r="A7" s="13" t="s">
        <v>69</v>
      </c>
      <c r="B7" s="10" t="str">
        <f>IF(A7="","",VLOOKUP(A7,'DS Nhân viên'!B:C,2,FALSE))</f>
        <v>Dương Hồng Ngọc</v>
      </c>
      <c r="C7" s="11" t="str">
        <f>IF(A7="","",VLOOKUP(A7,'DS Nhân viên'!B:D,3,FALSE))</f>
        <v>P.Nghiệp vụ IBS</v>
      </c>
      <c r="D7" s="11" t="str">
        <f>IF(A7="","",VLOOKUP(A7,'DS Nhân viên'!$B:$F,5,FALSE))</f>
        <v>Chính thức</v>
      </c>
      <c r="E7" s="62" t="s">
        <v>73</v>
      </c>
      <c r="F7" s="12" t="str">
        <f>IF($E7="","",VLOOKUP($E7,'DS Dự án'!$B:$F,2,FALSE))</f>
        <v>B_VNA_RPS</v>
      </c>
      <c r="G7" s="10" t="str">
        <f>IF($E7="","",VLOOKUP($E7,'DS Dự án'!$B:$F,4,FALSE))</f>
        <v>AnhNHT</v>
      </c>
      <c r="H7" s="10" t="str">
        <f>IF($E7="","",VLOOKUP(E7,'DS Dự án'!$B:$F,5,0))</f>
        <v>Đang thực hiện (Đã có hợp đồng)</v>
      </c>
      <c r="I7" s="28" t="str">
        <f t="shared" si="48"/>
        <v>ngocdhB_VNA_RPS</v>
      </c>
      <c r="J7" s="25">
        <v>0.5</v>
      </c>
      <c r="K7" s="25">
        <v>0.1</v>
      </c>
      <c r="L7" s="25">
        <v>0.1</v>
      </c>
      <c r="M7" s="25">
        <v>0.1</v>
      </c>
      <c r="N7" s="25">
        <v>0.1</v>
      </c>
      <c r="O7" s="25">
        <v>0.1</v>
      </c>
      <c r="P7" s="25"/>
      <c r="Q7" s="25">
        <v>0.1</v>
      </c>
      <c r="R7" s="25">
        <v>0.1</v>
      </c>
      <c r="S7" s="25">
        <v>0.1</v>
      </c>
      <c r="T7" s="25">
        <v>0.1</v>
      </c>
      <c r="U7" s="25">
        <v>0.1</v>
      </c>
      <c r="V7" s="25">
        <v>0.1</v>
      </c>
      <c r="W7" s="25">
        <v>0.1</v>
      </c>
      <c r="X7" s="25">
        <v>0.1</v>
      </c>
      <c r="Y7" s="25">
        <v>0.1</v>
      </c>
      <c r="Z7" s="25">
        <v>0.1</v>
      </c>
      <c r="AA7" s="25">
        <v>0.1</v>
      </c>
      <c r="AB7" s="25">
        <v>0.1</v>
      </c>
      <c r="AC7" s="25">
        <v>0.1</v>
      </c>
      <c r="AD7" s="25">
        <v>0.1</v>
      </c>
      <c r="AE7" s="25">
        <v>0.1</v>
      </c>
      <c r="AF7" s="25">
        <v>0.1</v>
      </c>
      <c r="AG7" s="25">
        <v>0.1</v>
      </c>
      <c r="AH7" s="25">
        <v>0.1</v>
      </c>
      <c r="AI7" s="25">
        <v>0.1</v>
      </c>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row>
    <row r="8" spans="1:61" s="1" customFormat="1">
      <c r="A8" s="13" t="s">
        <v>74</v>
      </c>
      <c r="B8" s="10" t="str">
        <f>IF(A8="","",VLOOKUP(A8,'DS Nhân viên'!B:C,2,FALSE))</f>
        <v>Nguyễn Việt Lâm</v>
      </c>
      <c r="C8" s="11" t="str">
        <f>IF(A8="","",VLOOKUP(A8,'DS Nhân viên'!B:D,3,FALSE))</f>
        <v>P.Kỹ thuật IBS</v>
      </c>
      <c r="D8" s="11" t="str">
        <f>IF(A8="","",VLOOKUP(A8,'DS Nhân viên'!$B:$F,5,FALSE))</f>
        <v>Học việc</v>
      </c>
      <c r="E8" s="62" t="s">
        <v>73</v>
      </c>
      <c r="F8" s="12" t="str">
        <f>IF($E8="","",VLOOKUP($E8,'DS Dự án'!$B:$F,2,FALSE))</f>
        <v>B_VNA_RPS</v>
      </c>
      <c r="G8" s="10" t="str">
        <f>IF($E8="","",VLOOKUP($E8,'DS Dự án'!$B:$F,4,FALSE))</f>
        <v>AnhNHT</v>
      </c>
      <c r="H8" s="10" t="str">
        <f>IF($E8="","",VLOOKUP(E8,'DS Dự án'!$B:$F,5,0))</f>
        <v>Đang thực hiện (Đã có hợp đồng)</v>
      </c>
      <c r="I8" s="28" t="str">
        <f t="shared" si="48"/>
        <v>lamnvB_VNA_RPS</v>
      </c>
      <c r="J8" s="25">
        <v>0.5</v>
      </c>
      <c r="K8" s="25">
        <v>1</v>
      </c>
      <c r="L8" s="25">
        <v>1</v>
      </c>
      <c r="M8" s="25">
        <v>1</v>
      </c>
      <c r="N8" s="25">
        <v>1</v>
      </c>
      <c r="O8" s="25">
        <v>1</v>
      </c>
      <c r="P8" s="25"/>
      <c r="Q8" s="25">
        <v>0.85</v>
      </c>
      <c r="R8" s="25">
        <v>0.5</v>
      </c>
      <c r="S8" s="25">
        <v>0.5</v>
      </c>
      <c r="T8" s="25">
        <v>0.5</v>
      </c>
      <c r="U8" s="25">
        <v>0.5</v>
      </c>
      <c r="V8" s="25">
        <v>0.5</v>
      </c>
      <c r="W8" s="25">
        <v>0.5</v>
      </c>
      <c r="X8" s="25">
        <v>0.5</v>
      </c>
      <c r="Y8" s="25">
        <v>0.5</v>
      </c>
      <c r="Z8" s="25">
        <v>0.5</v>
      </c>
      <c r="AA8" s="25">
        <v>0.5</v>
      </c>
      <c r="AB8" s="25">
        <v>0.5</v>
      </c>
      <c r="AC8" s="25">
        <v>0.5</v>
      </c>
      <c r="AD8" s="25">
        <v>0.5</v>
      </c>
      <c r="AE8" s="25">
        <v>0.5</v>
      </c>
      <c r="AF8" s="25">
        <v>0.5</v>
      </c>
      <c r="AG8" s="25">
        <v>0.5</v>
      </c>
      <c r="AH8" s="25">
        <v>0.5</v>
      </c>
      <c r="AI8" s="25">
        <v>0.5</v>
      </c>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row>
    <row r="9" spans="1:61" s="1" customFormat="1">
      <c r="A9" s="13" t="s">
        <v>75</v>
      </c>
      <c r="B9" s="10" t="str">
        <f>IF(A9="","",VLOOKUP(A9,'DS Nhân viên'!B:C,2,FALSE))</f>
        <v>Nguyễn Hoàng Tuấn Anh</v>
      </c>
      <c r="C9" s="11" t="str">
        <f>IF(A9="","",VLOOKUP(A9,'DS Nhân viên'!B:D,3,FALSE))</f>
        <v>P.Nghiệp vụ IBS</v>
      </c>
      <c r="D9" s="11" t="str">
        <f>IF(A9="","",VLOOKUP(A9,'DS Nhân viên'!$B:$F,5,FALSE))</f>
        <v>Chính thức</v>
      </c>
      <c r="E9" s="62" t="s">
        <v>73</v>
      </c>
      <c r="F9" s="12" t="str">
        <f>IF($E9="","",VLOOKUP($E9,'DS Dự án'!$B:$F,2,FALSE))</f>
        <v>B_VNA_RPS</v>
      </c>
      <c r="G9" s="10" t="str">
        <f>IF($E9="","",VLOOKUP($E9,'DS Dự án'!$B:$F,4,FALSE))</f>
        <v>AnhNHT</v>
      </c>
      <c r="H9" s="10" t="str">
        <f>IF($E9="","",VLOOKUP(E9,'DS Dự án'!$B:$F,5,0))</f>
        <v>Đang thực hiện (Đã có hợp đồng)</v>
      </c>
      <c r="I9" s="28" t="str">
        <f t="shared" si="48"/>
        <v>anhnhtB_VNA_RPS</v>
      </c>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row>
    <row r="10" spans="1:61" s="1" customFormat="1">
      <c r="A10" s="13" t="s">
        <v>67</v>
      </c>
      <c r="B10" s="10" t="str">
        <f>IF(A10="","",VLOOKUP(A10,'DS Nhân viên'!B:C,2,FALSE))</f>
        <v>Trịnh Ngọc Tâm</v>
      </c>
      <c r="C10" s="11" t="str">
        <f>IF(A10="","",VLOOKUP(A10,'DS Nhân viên'!B:D,3,FALSE))</f>
        <v>P.Kỹ thuật IBS</v>
      </c>
      <c r="D10" s="11" t="str">
        <f>IF(A10="","",VLOOKUP(A10,'DS Nhân viên'!$B:$F,5,FALSE))</f>
        <v>Chính thức</v>
      </c>
      <c r="E10" s="62" t="s">
        <v>76</v>
      </c>
      <c r="F10" s="12" t="str">
        <f>IF($E10="","",VLOOKUP($E10,'DS Dự án'!$B:$F,2,FALSE))</f>
        <v>BI DATA INDEVCO</v>
      </c>
      <c r="G10" s="10" t="str">
        <f>IF($E10="","",VLOOKUP($E10,'DS Dự án'!$B:$F,4,FALSE))</f>
        <v>AnhHT</v>
      </c>
      <c r="H10" s="10" t="str">
        <f>IF($E10="","",VLOOKUP(E10,'DS Dự án'!$B:$F,5,0))</f>
        <v>Đang thực hiện (Đã có hợp đồng)</v>
      </c>
      <c r="I10" s="28" t="str">
        <f t="shared" si="48"/>
        <v>tamtnBD_ID0_01_00</v>
      </c>
      <c r="J10" s="25"/>
      <c r="K10" s="25"/>
      <c r="L10" s="25"/>
      <c r="M10" s="25">
        <v>0.2</v>
      </c>
      <c r="N10" s="25">
        <v>0.4</v>
      </c>
      <c r="O10" s="25">
        <v>0.4</v>
      </c>
      <c r="P10" s="25"/>
      <c r="Q10" s="25">
        <v>0.4</v>
      </c>
      <c r="R10" s="25">
        <v>0.3</v>
      </c>
      <c r="S10" s="25">
        <v>0.3</v>
      </c>
      <c r="T10" s="25">
        <v>0.3</v>
      </c>
      <c r="U10" s="25">
        <v>0.3</v>
      </c>
      <c r="V10" s="25">
        <v>0.3</v>
      </c>
      <c r="W10" s="25">
        <v>0.3</v>
      </c>
      <c r="X10" s="25">
        <v>0.3</v>
      </c>
      <c r="Y10" s="25">
        <v>0.3</v>
      </c>
      <c r="Z10" s="25">
        <v>0.3</v>
      </c>
      <c r="AA10" s="25">
        <v>0.3</v>
      </c>
      <c r="AB10" s="25">
        <v>0.3</v>
      </c>
      <c r="AC10" s="25">
        <v>0.3</v>
      </c>
      <c r="AD10" s="25">
        <v>0.3</v>
      </c>
      <c r="AE10" s="25">
        <v>0.3</v>
      </c>
      <c r="AF10" s="25">
        <v>0.3</v>
      </c>
      <c r="AG10" s="25">
        <v>0.3</v>
      </c>
      <c r="AH10" s="25">
        <v>0.3</v>
      </c>
      <c r="AI10" s="25">
        <v>0.3</v>
      </c>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row>
    <row r="11" spans="1:61" s="1" customFormat="1">
      <c r="A11" s="13" t="s">
        <v>77</v>
      </c>
      <c r="B11" s="10" t="str">
        <f>IF(A11="","",VLOOKUP(A11,'DS Nhân viên'!B:C,2,FALSE))</f>
        <v>Hoàng Tuấn Anh</v>
      </c>
      <c r="C11" s="11" t="str">
        <f>IF(A11="","",VLOOKUP(A11,'DS Nhân viên'!B:D,3,FALSE))</f>
        <v>P.Nghiệp vụ IBS</v>
      </c>
      <c r="D11" s="11" t="str">
        <f>IF(A11="","",VLOOKUP(A11,'DS Nhân viên'!$B:$F,5,FALSE))</f>
        <v>Chính thức</v>
      </c>
      <c r="E11" s="62" t="s">
        <v>76</v>
      </c>
      <c r="F11" s="12" t="str">
        <f>IF($E11="","",VLOOKUP($E11,'DS Dự án'!$B:$F,2,FALSE))</f>
        <v>BI DATA INDEVCO</v>
      </c>
      <c r="G11" s="10" t="str">
        <f>IF($E11="","",VLOOKUP($E11,'DS Dự án'!$B:$F,4,FALSE))</f>
        <v>AnhHT</v>
      </c>
      <c r="H11" s="10" t="str">
        <f>IF($E11="","",VLOOKUP(E11,'DS Dự án'!$B:$F,5,0))</f>
        <v>Đang thực hiện (Đã có hợp đồng)</v>
      </c>
      <c r="I11" s="28" t="str">
        <f t="shared" si="48"/>
        <v>anhhtBD_ID0_01_00</v>
      </c>
      <c r="J11" s="25"/>
      <c r="K11" s="25"/>
      <c r="L11" s="25"/>
      <c r="M11" s="25">
        <v>0.2</v>
      </c>
      <c r="N11" s="25">
        <v>0.2</v>
      </c>
      <c r="O11" s="25">
        <v>0.1</v>
      </c>
      <c r="P11" s="25"/>
      <c r="Q11" s="25"/>
      <c r="R11" s="25">
        <v>0.15</v>
      </c>
      <c r="S11" s="25">
        <v>0.15</v>
      </c>
      <c r="T11" s="25">
        <v>0.15</v>
      </c>
      <c r="U11" s="25"/>
      <c r="V11" s="25">
        <v>0.15</v>
      </c>
      <c r="W11" s="25">
        <v>0.15</v>
      </c>
      <c r="X11" s="25">
        <v>0.15</v>
      </c>
      <c r="Y11" s="25"/>
      <c r="Z11" s="25">
        <v>0.15</v>
      </c>
      <c r="AA11" s="25">
        <v>0.15</v>
      </c>
      <c r="AB11" s="25">
        <v>0.15</v>
      </c>
      <c r="AC11" s="25"/>
      <c r="AD11" s="25">
        <v>0.15</v>
      </c>
      <c r="AE11" s="25">
        <v>0.15</v>
      </c>
      <c r="AF11" s="25">
        <v>0.15</v>
      </c>
      <c r="AG11" s="25"/>
      <c r="AH11" s="25">
        <v>0.15</v>
      </c>
      <c r="AI11" s="25">
        <v>0.15</v>
      </c>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row>
    <row r="12" spans="1:61" s="1" customFormat="1">
      <c r="A12" s="13" t="s">
        <v>78</v>
      </c>
      <c r="B12" s="10" t="str">
        <f>IF(A12="","",VLOOKUP(A12,'DS Nhân viên'!B:C,2,FALSE))</f>
        <v>Ngô Thị Nhung</v>
      </c>
      <c r="C12" s="11" t="s">
        <v>33</v>
      </c>
      <c r="D12" s="11" t="str">
        <f>IF(A12="","",VLOOKUP(A12,'DS Nhân viên'!$B:$F,5,FALSE))</f>
        <v>Chính thức</v>
      </c>
      <c r="E12" s="62" t="s">
        <v>79</v>
      </c>
      <c r="F12" s="12" t="str">
        <f>IF($E12="","",VLOOKUP($E12,'DS Dự án'!$B:$F,2,FALSE))</f>
        <v>BI DWH GELEXIMCO</v>
      </c>
      <c r="G12" s="10" t="str">
        <f>IF($E12="","",VLOOKUP($E12,'DS Dự án'!$B:$F,4,FALSE))</f>
        <v>AnhNHT</v>
      </c>
      <c r="H12" s="10" t="str">
        <f>IF($E12="","",VLOOKUP(E12,'DS Dự án'!$B:$F,5,0))</f>
        <v>Đang thực hiện (Đã có hợp đồng)</v>
      </c>
      <c r="I12" s="28" t="str">
        <f t="shared" si="48"/>
        <v>nhungnt2BD_GE0_01_00</v>
      </c>
      <c r="J12" s="25">
        <v>1</v>
      </c>
      <c r="K12" s="25">
        <v>1</v>
      </c>
      <c r="L12" s="25">
        <v>1</v>
      </c>
      <c r="M12" s="25">
        <v>1</v>
      </c>
      <c r="N12" s="25">
        <v>0.6</v>
      </c>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row>
    <row r="13" spans="1:61" s="1" customFormat="1">
      <c r="A13" s="13" t="s">
        <v>80</v>
      </c>
      <c r="B13" s="10" t="str">
        <f>IF(A13="","",VLOOKUP(A13,'DS Nhân viên'!B:C,2,FALSE))</f>
        <v>Đinh Đức Minh</v>
      </c>
      <c r="C13" s="11" t="str">
        <f>IF(A13="","",VLOOKUP(A13,'DS Nhân viên'!B:D,3,FALSE))</f>
        <v>P.Nghiệp vụ IBS</v>
      </c>
      <c r="D13" s="11" t="str">
        <f>IF(A13="","",VLOOKUP(A13,'DS Nhân viên'!$B:$F,5,FALSE))</f>
        <v>Chính thức</v>
      </c>
      <c r="E13" s="62" t="s">
        <v>79</v>
      </c>
      <c r="F13" s="12" t="str">
        <f>IF($E13="","",VLOOKUP($E13,'DS Dự án'!$B:$F,2,FALSE))</f>
        <v>BI DWH GELEXIMCO</v>
      </c>
      <c r="G13" s="10" t="str">
        <f>IF($E13="","",VLOOKUP($E13,'DS Dự án'!$B:$F,4,FALSE))</f>
        <v>AnhNHT</v>
      </c>
      <c r="H13" s="10" t="str">
        <f>IF($E13="","",VLOOKUP(E13,'DS Dự án'!$B:$F,5,0))</f>
        <v>Đang thực hiện (Đã có hợp đồng)</v>
      </c>
      <c r="I13" s="28" t="str">
        <f t="shared" si="48"/>
        <v>minhddBD_GE0_01_00</v>
      </c>
      <c r="J13" s="25">
        <v>1</v>
      </c>
      <c r="K13" s="25">
        <v>1</v>
      </c>
      <c r="L13" s="25">
        <v>1</v>
      </c>
      <c r="M13" s="25">
        <v>1</v>
      </c>
      <c r="N13" s="25">
        <v>1</v>
      </c>
      <c r="O13" s="25">
        <v>1</v>
      </c>
      <c r="P13" s="25"/>
      <c r="Q13" s="25">
        <v>1</v>
      </c>
      <c r="R13" s="25">
        <v>1</v>
      </c>
      <c r="S13" s="25">
        <v>0.5</v>
      </c>
      <c r="T13" s="25"/>
      <c r="U13" s="25"/>
      <c r="V13" s="25"/>
      <c r="W13" s="25">
        <v>0.5</v>
      </c>
      <c r="X13" s="25">
        <v>0.5</v>
      </c>
      <c r="Y13" s="25">
        <v>0.5</v>
      </c>
      <c r="Z13" s="25">
        <v>0.5</v>
      </c>
      <c r="AA13" s="25">
        <v>1</v>
      </c>
      <c r="AB13" s="25">
        <v>1</v>
      </c>
      <c r="AC13" s="25">
        <v>1</v>
      </c>
      <c r="AD13" s="25">
        <v>1</v>
      </c>
      <c r="AE13" s="25">
        <v>1</v>
      </c>
      <c r="AF13" s="25">
        <v>1</v>
      </c>
      <c r="AG13" s="25">
        <v>1</v>
      </c>
      <c r="AH13" s="25">
        <v>1</v>
      </c>
      <c r="AI13" s="25">
        <v>1</v>
      </c>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row>
    <row r="14" spans="1:61" s="1" customFormat="1">
      <c r="A14" s="13" t="s">
        <v>81</v>
      </c>
      <c r="B14" s="10" t="str">
        <f>IF(A14="","",VLOOKUP(A14,'DS Nhân viên'!B:C,2,FALSE))</f>
        <v>Nguyễn Thanh Mai</v>
      </c>
      <c r="C14" s="11" t="str">
        <f>IF(A14="","",VLOOKUP(A14,'DS Nhân viên'!B:D,3,FALSE))</f>
        <v>P.Nghiệp vụ IBS</v>
      </c>
      <c r="D14" s="11" t="str">
        <f>IF(A14="","",VLOOKUP(A14,'DS Nhân viên'!$B:$F,5,FALSE))</f>
        <v>Chính thức</v>
      </c>
      <c r="E14" s="62" t="s">
        <v>79</v>
      </c>
      <c r="F14" s="12" t="str">
        <f>IF($E14="","",VLOOKUP($E14,'DS Dự án'!$B:$F,2,FALSE))</f>
        <v>BI DWH GELEXIMCO</v>
      </c>
      <c r="G14" s="10" t="str">
        <f>IF($E14="","",VLOOKUP($E14,'DS Dự án'!$B:$F,4,FALSE))</f>
        <v>AnhNHT</v>
      </c>
      <c r="H14" s="10" t="str">
        <f>IF($E14="","",VLOOKUP(E14,'DS Dự án'!$B:$F,5,0))</f>
        <v>Đang thực hiện (Đã có hợp đồng)</v>
      </c>
      <c r="I14" s="28" t="str">
        <f t="shared" si="48"/>
        <v>maintBD_GE0_01_00</v>
      </c>
      <c r="J14" s="25">
        <v>1</v>
      </c>
      <c r="K14" s="25">
        <v>1</v>
      </c>
      <c r="L14" s="25">
        <v>1</v>
      </c>
      <c r="M14" s="25">
        <v>1</v>
      </c>
      <c r="N14" s="25">
        <v>1</v>
      </c>
      <c r="O14" s="25">
        <v>1</v>
      </c>
      <c r="P14" s="25"/>
      <c r="Q14" s="25">
        <v>0.5</v>
      </c>
      <c r="R14" s="25">
        <v>0.5</v>
      </c>
      <c r="S14" s="25">
        <v>0.5</v>
      </c>
      <c r="T14" s="25">
        <v>0.5</v>
      </c>
      <c r="U14" s="25">
        <v>0.5</v>
      </c>
      <c r="V14" s="25">
        <v>0.5</v>
      </c>
      <c r="W14" s="25">
        <v>0.5</v>
      </c>
      <c r="X14" s="25">
        <v>0.5</v>
      </c>
      <c r="Y14" s="25">
        <v>0.5</v>
      </c>
      <c r="Z14" s="25">
        <v>0.5</v>
      </c>
      <c r="AA14" s="25">
        <v>0.5</v>
      </c>
      <c r="AB14" s="25">
        <v>0.5</v>
      </c>
      <c r="AC14" s="25">
        <v>0.5</v>
      </c>
      <c r="AD14" s="25">
        <v>0.5</v>
      </c>
      <c r="AE14" s="25">
        <v>0.5</v>
      </c>
      <c r="AF14" s="25">
        <v>0.5</v>
      </c>
      <c r="AG14" s="25">
        <v>0.5</v>
      </c>
      <c r="AH14" s="25">
        <v>0.5</v>
      </c>
      <c r="AI14" s="25">
        <v>0.5</v>
      </c>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row>
    <row r="15" spans="1:61" s="1" customFormat="1">
      <c r="A15" s="13" t="s">
        <v>74</v>
      </c>
      <c r="B15" s="10" t="str">
        <f>IF(A15="","",VLOOKUP(A15,'DS Nhân viên'!B:C,2,FALSE))</f>
        <v>Nguyễn Việt Lâm</v>
      </c>
      <c r="C15" s="11" t="str">
        <f>IF(A15="","",VLOOKUP(A15,'DS Nhân viên'!B:D,3,FALSE))</f>
        <v>P.Kỹ thuật IBS</v>
      </c>
      <c r="D15" s="11" t="str">
        <f>IF(A15="","",VLOOKUP(A15,'DS Nhân viên'!$B:$F,5,FALSE))</f>
        <v>Học việc</v>
      </c>
      <c r="E15" s="62" t="s">
        <v>79</v>
      </c>
      <c r="F15" s="12" t="str">
        <f>IF($E15="","",VLOOKUP($E15,'DS Dự án'!$B:$F,2,FALSE))</f>
        <v>BI DWH GELEXIMCO</v>
      </c>
      <c r="G15" s="10" t="str">
        <f>IF($E15="","",VLOOKUP($E15,'DS Dự án'!$B:$F,4,FALSE))</f>
        <v>AnhNHT</v>
      </c>
      <c r="H15" s="10" t="str">
        <f>IF($E15="","",VLOOKUP(E15,'DS Dự án'!$B:$F,5,0))</f>
        <v>Đang thực hiện (Đã có hợp đồng)</v>
      </c>
      <c r="I15" s="28" t="str">
        <f t="shared" si="48"/>
        <v>lamnvBD_GE0_01_00</v>
      </c>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row>
    <row r="16" spans="1:61" s="1" customFormat="1">
      <c r="A16" s="13" t="s">
        <v>82</v>
      </c>
      <c r="B16" s="10" t="str">
        <f>IF(A16="","",VLOOKUP(A16,'DS Nhân viên'!B:C,2,FALSE))</f>
        <v>Đỗ Trung Hiếu</v>
      </c>
      <c r="C16" s="11" t="str">
        <f>IF(A16="","",VLOOKUP(A16,'DS Nhân viên'!B:D,3,FALSE))</f>
        <v>P.Kỹ thuật IBS</v>
      </c>
      <c r="D16" s="11" t="str">
        <f>IF(A16="","",VLOOKUP(A16,'DS Nhân viên'!$B:$F,5,FALSE))</f>
        <v>Học việc</v>
      </c>
      <c r="E16" s="62" t="s">
        <v>79</v>
      </c>
      <c r="F16" s="12" t="str">
        <f>IF($E16="","",VLOOKUP($E16,'DS Dự án'!$B:$F,2,FALSE))</f>
        <v>BI DWH GELEXIMCO</v>
      </c>
      <c r="G16" s="10" t="str">
        <f>IF($E16="","",VLOOKUP($E16,'DS Dự án'!$B:$F,4,FALSE))</f>
        <v>AnhNHT</v>
      </c>
      <c r="H16" s="10" t="str">
        <f>IF($E16="","",VLOOKUP(E16,'DS Dự án'!$B:$F,5,0))</f>
        <v>Đang thực hiện (Đã có hợp đồng)</v>
      </c>
      <c r="I16" s="28" t="str">
        <f t="shared" si="48"/>
        <v>hieudtBD_GE0_01_00</v>
      </c>
      <c r="J16" s="25">
        <v>1</v>
      </c>
      <c r="K16" s="25">
        <v>1</v>
      </c>
      <c r="L16" s="25">
        <v>1</v>
      </c>
      <c r="M16" s="25">
        <v>1</v>
      </c>
      <c r="N16" s="25">
        <v>1</v>
      </c>
      <c r="O16" s="25">
        <v>1</v>
      </c>
      <c r="P16" s="25"/>
      <c r="Q16" s="25">
        <v>0.5</v>
      </c>
      <c r="R16" s="25">
        <v>1</v>
      </c>
      <c r="S16" s="25">
        <v>1</v>
      </c>
      <c r="T16" s="25">
        <v>0.7</v>
      </c>
      <c r="U16" s="25">
        <v>0.7</v>
      </c>
      <c r="V16" s="25">
        <v>0.7</v>
      </c>
      <c r="W16" s="25">
        <v>1</v>
      </c>
      <c r="X16" s="25">
        <v>1</v>
      </c>
      <c r="Y16" s="25">
        <v>1</v>
      </c>
      <c r="Z16" s="25">
        <v>1</v>
      </c>
      <c r="AA16" s="25">
        <v>1</v>
      </c>
      <c r="AB16" s="25">
        <v>1</v>
      </c>
      <c r="AC16" s="25">
        <v>1</v>
      </c>
      <c r="AD16" s="25">
        <v>1</v>
      </c>
      <c r="AE16" s="25">
        <v>1</v>
      </c>
      <c r="AF16" s="25">
        <v>1</v>
      </c>
      <c r="AG16" s="25">
        <v>1</v>
      </c>
      <c r="AH16" s="25">
        <v>1</v>
      </c>
      <c r="AI16" s="25">
        <v>1</v>
      </c>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row>
    <row r="17" spans="1:61" s="1" customFormat="1">
      <c r="A17" s="13" t="s">
        <v>75</v>
      </c>
      <c r="B17" s="10" t="str">
        <f>IF(A17="","",VLOOKUP(A17,'DS Nhân viên'!B:C,2,FALSE))</f>
        <v>Nguyễn Hoàng Tuấn Anh</v>
      </c>
      <c r="C17" s="11" t="str">
        <f>IF(A17="","",VLOOKUP(A17,'DS Nhân viên'!B:D,3,FALSE))</f>
        <v>P.Nghiệp vụ IBS</v>
      </c>
      <c r="D17" s="11" t="str">
        <f>IF(A17="","",VLOOKUP(A17,'DS Nhân viên'!$B:$F,5,FALSE))</f>
        <v>Chính thức</v>
      </c>
      <c r="E17" s="62" t="s">
        <v>79</v>
      </c>
      <c r="F17" s="12" t="str">
        <f>IF($E17="","",VLOOKUP($E17,'DS Dự án'!$B:$F,2,FALSE))</f>
        <v>BI DWH GELEXIMCO</v>
      </c>
      <c r="G17" s="10" t="str">
        <f>IF($E17="","",VLOOKUP($E17,'DS Dự án'!$B:$F,4,FALSE))</f>
        <v>AnhNHT</v>
      </c>
      <c r="H17" s="10" t="str">
        <f>IF($E17="","",VLOOKUP(E17,'DS Dự án'!$B:$F,5,0))</f>
        <v>Đang thực hiện (Đã có hợp đồng)</v>
      </c>
      <c r="I17" s="28" t="str">
        <f t="shared" si="48"/>
        <v>anhnhtBD_GE0_01_00</v>
      </c>
      <c r="J17" s="25">
        <v>0.6</v>
      </c>
      <c r="K17" s="25">
        <v>0.6</v>
      </c>
      <c r="L17" s="25">
        <v>0.6</v>
      </c>
      <c r="M17" s="25">
        <v>0.6</v>
      </c>
      <c r="N17" s="25">
        <v>0.6</v>
      </c>
      <c r="O17" s="25">
        <v>0.6</v>
      </c>
      <c r="P17" s="25"/>
      <c r="Q17" s="25">
        <v>0.6</v>
      </c>
      <c r="R17" s="25">
        <v>0.6</v>
      </c>
      <c r="S17" s="25">
        <v>0.6</v>
      </c>
      <c r="T17" s="25">
        <v>0.6</v>
      </c>
      <c r="U17" s="25">
        <v>0.6</v>
      </c>
      <c r="V17" s="25">
        <v>0.6</v>
      </c>
      <c r="W17" s="25">
        <v>0.6</v>
      </c>
      <c r="X17" s="25">
        <v>0.6</v>
      </c>
      <c r="Y17" s="25">
        <v>0.6</v>
      </c>
      <c r="Z17" s="25">
        <v>0.6</v>
      </c>
      <c r="AA17" s="25">
        <v>0.6</v>
      </c>
      <c r="AB17" s="25">
        <v>0.6</v>
      </c>
      <c r="AC17" s="25">
        <v>0.6</v>
      </c>
      <c r="AD17" s="25">
        <v>0.6</v>
      </c>
      <c r="AE17" s="25">
        <v>0.6</v>
      </c>
      <c r="AF17" s="25">
        <v>0.6</v>
      </c>
      <c r="AG17" s="25">
        <v>0.6</v>
      </c>
      <c r="AH17" s="25">
        <v>0.6</v>
      </c>
      <c r="AI17" s="25">
        <v>0.6</v>
      </c>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row>
    <row r="18" spans="1:61" s="1" customFormat="1">
      <c r="A18" s="13" t="s">
        <v>83</v>
      </c>
      <c r="B18" s="10" t="str">
        <f>IF(A18="","",VLOOKUP(A18,'DS Nhân viên'!B:C,2,FALSE))</f>
        <v>Nguyễn Minh Hiếu</v>
      </c>
      <c r="C18" s="11" t="str">
        <f>IF(A18="","",VLOOKUP(A18,'DS Nhân viên'!B:D,3,FALSE))</f>
        <v>P.Kỹ thuật IBS</v>
      </c>
      <c r="D18" s="11" t="str">
        <f>IF(A18="","",VLOOKUP(A18,'DS Nhân viên'!$B:$F,5,FALSE))</f>
        <v>Thử việc</v>
      </c>
      <c r="E18" s="62" t="s">
        <v>79</v>
      </c>
      <c r="F18" s="12" t="str">
        <f>IF($E18="","",VLOOKUP($E18,'DS Dự án'!$B:$F,2,FALSE))</f>
        <v>BI DWH GELEXIMCO</v>
      </c>
      <c r="G18" s="10" t="str">
        <f>IF($E18="","",VLOOKUP($E18,'DS Dự án'!$B:$F,4,FALSE))</f>
        <v>AnhNHT</v>
      </c>
      <c r="H18" s="10" t="str">
        <f>IF($E18="","",VLOOKUP(E18,'DS Dự án'!$B:$F,5,0))</f>
        <v>Đang thực hiện (Đã có hợp đồng)</v>
      </c>
      <c r="I18" s="28" t="str">
        <f t="shared" si="48"/>
        <v>hieunmBD_GE0_01_00</v>
      </c>
      <c r="J18" s="25"/>
      <c r="K18" s="25"/>
      <c r="L18" s="25"/>
      <c r="M18" s="25"/>
      <c r="N18" s="25"/>
      <c r="O18" s="25"/>
      <c r="P18" s="25"/>
      <c r="Q18" s="25">
        <v>0.5</v>
      </c>
      <c r="R18" s="25">
        <v>1</v>
      </c>
      <c r="S18" s="25">
        <v>1</v>
      </c>
      <c r="T18" s="25">
        <v>1</v>
      </c>
      <c r="U18" s="25">
        <v>1</v>
      </c>
      <c r="V18" s="25">
        <v>1</v>
      </c>
      <c r="W18" s="25">
        <v>1</v>
      </c>
      <c r="X18" s="25">
        <v>1</v>
      </c>
      <c r="Y18" s="25">
        <v>1</v>
      </c>
      <c r="Z18" s="25">
        <v>1</v>
      </c>
      <c r="AA18" s="25">
        <v>1</v>
      </c>
      <c r="AB18" s="25">
        <v>1</v>
      </c>
      <c r="AC18" s="25">
        <v>1</v>
      </c>
      <c r="AD18" s="25">
        <v>1</v>
      </c>
      <c r="AE18" s="25">
        <v>1</v>
      </c>
      <c r="AF18" s="25">
        <v>1</v>
      </c>
      <c r="AG18" s="25">
        <v>1</v>
      </c>
      <c r="AH18" s="25">
        <v>1</v>
      </c>
      <c r="AI18" s="25">
        <v>1</v>
      </c>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row>
    <row r="19" spans="1:61" s="1" customFormat="1">
      <c r="A19" s="13" t="s">
        <v>84</v>
      </c>
      <c r="B19" s="10" t="str">
        <f>IF(A19="","",VLOOKUP(A19,'DS Nhân viên'!B:C,2,FALSE))</f>
        <v>Hà Mạnh Tân</v>
      </c>
      <c r="C19" s="11" t="str">
        <f>IF(A19="","",VLOOKUP(A19,'DS Nhân viên'!B:D,3,FALSE))</f>
        <v>P.Nghiệp vụ IBS</v>
      </c>
      <c r="D19" s="11" t="str">
        <f>IF(A19="","",VLOOKUP(A19,'DS Nhân viên'!$B:$F,5,FALSE))</f>
        <v>Chính thức</v>
      </c>
      <c r="E19" s="68" t="s">
        <v>85</v>
      </c>
      <c r="F19" s="12" t="str">
        <f>IF($E19="","",VLOOKUP($E19,'DS Dự án'!$B:$F,2,FALSE))</f>
        <v>BI EVN HCM GD2</v>
      </c>
      <c r="G19" s="10" t="str">
        <f>IF($E19="","",VLOOKUP($E19,'DS Dự án'!$B:$F,4,FALSE))</f>
        <v>AnhNHT</v>
      </c>
      <c r="H19" s="10" t="str">
        <f>IF($E19="","",VLOOKUP(E19,'DS Dự án'!$B:$F,5,0))</f>
        <v>Cơ hội</v>
      </c>
      <c r="I19" s="28" t="str">
        <f t="shared" si="48"/>
        <v>tanhmBD_EN4_01_00</v>
      </c>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row>
    <row r="20" spans="1:61" s="1" customFormat="1">
      <c r="A20" s="13" t="s">
        <v>86</v>
      </c>
      <c r="B20" s="10" t="str">
        <f>IF(A20="","",VLOOKUP(A20,'DS Nhân viên'!B:C,2,FALSE))</f>
        <v>Nguyễn Lưu Phất</v>
      </c>
      <c r="C20" s="11" t="str">
        <f>IF(A20="","",VLOOKUP(A20,'DS Nhân viên'!B:D,3,FALSE))</f>
        <v>P.Nghiệp vụ IBS</v>
      </c>
      <c r="D20" s="11" t="str">
        <f>IF(A20="","",VLOOKUP(A20,'DS Nhân viên'!$B:$F,5,FALSE))</f>
        <v>Chính thức</v>
      </c>
      <c r="E20" s="62" t="s">
        <v>85</v>
      </c>
      <c r="F20" s="12" t="str">
        <f>IF($E20="","",VLOOKUP($E20,'DS Dự án'!$B:$F,2,FALSE))</f>
        <v>BI EVN HCM GD2</v>
      </c>
      <c r="G20" s="10" t="str">
        <f>IF($E20="","",VLOOKUP($E20,'DS Dự án'!$B:$F,4,FALSE))</f>
        <v>AnhNHT</v>
      </c>
      <c r="H20" s="10" t="str">
        <f>IF($E20="","",VLOOKUP(E20,'DS Dự án'!$B:$F,5,0))</f>
        <v>Cơ hội</v>
      </c>
      <c r="I20" s="28" t="str">
        <f t="shared" si="48"/>
        <v>phatnlBD_EN4_01_00</v>
      </c>
      <c r="J20" s="25">
        <v>0.2</v>
      </c>
      <c r="K20" s="25">
        <v>0.2</v>
      </c>
      <c r="L20" s="25">
        <v>0.2</v>
      </c>
      <c r="M20" s="25">
        <v>0.2</v>
      </c>
      <c r="N20" s="25">
        <v>0.2</v>
      </c>
      <c r="O20" s="25">
        <v>0.2</v>
      </c>
      <c r="P20" s="25"/>
      <c r="Q20" s="25">
        <v>0.3</v>
      </c>
      <c r="R20" s="25">
        <v>0.05</v>
      </c>
      <c r="S20" s="25">
        <v>0.1</v>
      </c>
      <c r="T20" s="25">
        <v>0</v>
      </c>
      <c r="U20" s="25">
        <v>0.2</v>
      </c>
      <c r="V20" s="25">
        <v>0.2</v>
      </c>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row>
    <row r="21" spans="1:61" s="1" customFormat="1">
      <c r="A21" s="13" t="s">
        <v>75</v>
      </c>
      <c r="B21" s="10" t="str">
        <f>IF(A21="","",VLOOKUP(A21,'DS Nhân viên'!B:C,2,FALSE))</f>
        <v>Nguyễn Hoàng Tuấn Anh</v>
      </c>
      <c r="C21" s="11" t="str">
        <f>IF(A21="","",VLOOKUP(A21,'DS Nhân viên'!B:D,3,FALSE))</f>
        <v>P.Nghiệp vụ IBS</v>
      </c>
      <c r="D21" s="11" t="str">
        <f>IF(A21="","",VLOOKUP(A21,'DS Nhân viên'!$B:$F,5,FALSE))</f>
        <v>Chính thức</v>
      </c>
      <c r="E21" s="62" t="s">
        <v>85</v>
      </c>
      <c r="F21" s="12" t="str">
        <f>IF($E21="","",VLOOKUP($E21,'DS Dự án'!$B:$F,2,FALSE))</f>
        <v>BI EVN HCM GD2</v>
      </c>
      <c r="G21" s="10" t="str">
        <f>IF($E21="","",VLOOKUP($E21,'DS Dự án'!$B:$F,4,FALSE))</f>
        <v>AnhNHT</v>
      </c>
      <c r="H21" s="10" t="str">
        <f>IF($E21="","",VLOOKUP(E21,'DS Dự án'!$B:$F,5,0))</f>
        <v>Cơ hội</v>
      </c>
      <c r="I21" s="28" t="str">
        <f t="shared" si="48"/>
        <v>anhnhtBD_EN4_01_00</v>
      </c>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row>
    <row r="22" spans="1:61" s="1" customFormat="1">
      <c r="A22" s="13" t="s">
        <v>87</v>
      </c>
      <c r="B22" s="10" t="str">
        <f>IF(A22="","",VLOOKUP(A22,'DS Nhân viên'!B:C,2,FALSE))</f>
        <v>Trần Thị Thanh Huyền</v>
      </c>
      <c r="C22" s="11" t="str">
        <f>IF(A22="","",VLOOKUP(A22,'DS Nhân viên'!B:D,3,FALSE))</f>
        <v>P.Nghiệp vụ IBS</v>
      </c>
      <c r="D22" s="11" t="str">
        <f>IF(A22="","",VLOOKUP(A22,'DS Nhân viên'!$B:$F,5,FALSE))</f>
        <v>Chính thức</v>
      </c>
      <c r="E22" s="64" t="s">
        <v>85</v>
      </c>
      <c r="F22" s="12" t="str">
        <f>IF($E22="","",VLOOKUP($E22,'DS Dự án'!$B:$F,2,FALSE))</f>
        <v>BI EVN HCM GD2</v>
      </c>
      <c r="G22" s="10" t="str">
        <f>IF($E22="","",VLOOKUP($E22,'DS Dự án'!$B:$F,4,FALSE))</f>
        <v>AnhNHT</v>
      </c>
      <c r="H22" s="10" t="str">
        <f>IF($E22="","",VLOOKUP(E22,'DS Dự án'!$B:$F,5,0))</f>
        <v>Cơ hội</v>
      </c>
      <c r="I22" s="28" t="str">
        <f t="shared" si="48"/>
        <v>huyentttBD_EN4_01_00</v>
      </c>
      <c r="J22" s="25">
        <v>0</v>
      </c>
      <c r="K22" s="25">
        <v>0</v>
      </c>
      <c r="L22" s="25">
        <v>0</v>
      </c>
      <c r="M22" s="25">
        <v>0</v>
      </c>
      <c r="N22" s="25">
        <v>0</v>
      </c>
      <c r="O22" s="25">
        <v>0</v>
      </c>
      <c r="P22" s="25"/>
      <c r="Q22" s="25">
        <v>0</v>
      </c>
      <c r="R22" s="25">
        <v>0</v>
      </c>
      <c r="S22" s="25">
        <v>0</v>
      </c>
      <c r="T22" s="25">
        <v>0</v>
      </c>
      <c r="U22" s="25">
        <v>0</v>
      </c>
      <c r="V22" s="25">
        <v>0</v>
      </c>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row>
    <row r="23" spans="1:61" s="1" customFormat="1">
      <c r="A23" s="13" t="s">
        <v>69</v>
      </c>
      <c r="B23" s="10" t="str">
        <f>IF(A23="","",VLOOKUP(A23,'DS Nhân viên'!B:C,2,FALSE))</f>
        <v>Dương Hồng Ngọc</v>
      </c>
      <c r="C23" s="11" t="str">
        <f>IF(A23="","",VLOOKUP(A23,'DS Nhân viên'!B:D,3,FALSE))</f>
        <v>P.Nghiệp vụ IBS</v>
      </c>
      <c r="D23" s="11" t="str">
        <f>IF(A23="","",VLOOKUP(A23,'DS Nhân viên'!$B:$F,5,FALSE))</f>
        <v>Chính thức</v>
      </c>
      <c r="E23" s="62" t="s">
        <v>88</v>
      </c>
      <c r="F23" s="12" t="str">
        <f>IF($E23="","",VLOOKUP($E23,'DS Dự án'!$B:$F,2,FALSE))</f>
        <v>BI GENCO1 2025</v>
      </c>
      <c r="G23" s="10" t="str">
        <f>IF($E23="","",VLOOKUP($E23,'DS Dự án'!$B:$F,4,FALSE))</f>
        <v>AnhNHT</v>
      </c>
      <c r="H23" s="10" t="str">
        <f>IF($E23="","",VLOOKUP(E23,'DS Dự án'!$B:$F,5,0))</f>
        <v>Đóng</v>
      </c>
      <c r="I23" s="28" t="str">
        <f t="shared" si="48"/>
        <v>ngocdhBD_EN1_01_00</v>
      </c>
      <c r="J23" s="25">
        <v>0.1</v>
      </c>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row>
    <row r="24" spans="1:61" s="1" customFormat="1">
      <c r="A24" s="24" t="s">
        <v>89</v>
      </c>
      <c r="B24" s="10" t="str">
        <f>IF(A24="","",VLOOKUP(A24,'DS Nhân viên'!B:C,2,FALSE))</f>
        <v>Trần Huyền Trang</v>
      </c>
      <c r="C24" s="11" t="str">
        <f>IF(A24="","",VLOOKUP(A24,'DS Nhân viên'!B:D,3,FALSE))</f>
        <v>P.Nghiệp vụ IBS</v>
      </c>
      <c r="D24" s="11" t="str">
        <f>IF(A24="","",VLOOKUP(A24,'DS Nhân viên'!$B:$F,5,FALSE))</f>
        <v>Chính thức</v>
      </c>
      <c r="E24" s="62" t="s">
        <v>90</v>
      </c>
      <c r="F24" s="12" t="str">
        <f>IF($E24="","",VLOOKUP($E24,'DS Dự án'!$B:$F,2,FALSE))</f>
        <v>BI MB QA</v>
      </c>
      <c r="G24" s="10" t="str">
        <f>IF($E24="","",VLOOKUP($E24,'DS Dự án'!$B:$F,4,FALSE))</f>
        <v>CongLC</v>
      </c>
      <c r="H24" s="10" t="str">
        <f>IF($E24="","",VLOOKUP(E24,'DS Dự án'!$B:$F,5,0))</f>
        <v>Đóng</v>
      </c>
      <c r="I24" s="28" t="str">
        <f t="shared" si="48"/>
        <v>trangthB_MB_AUTOMATION_QA_CNTT</v>
      </c>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row>
    <row r="25" spans="1:61" s="1" customFormat="1">
      <c r="A25" s="24" t="s">
        <v>91</v>
      </c>
      <c r="B25" s="10" t="str">
        <f>IF(A25="","",VLOOKUP(A25,'DS Nhân viên'!B:C,2,FALSE))</f>
        <v>Lê Đình Phúc</v>
      </c>
      <c r="C25" s="11" t="str">
        <f>IF(A25="","",VLOOKUP(A25,'DS Nhân viên'!B:D,3,FALSE))</f>
        <v>P.Kỹ thuật IBS</v>
      </c>
      <c r="D25" s="11" t="str">
        <f>IF(A25="","",VLOOKUP(A25,'DS Nhân viên'!$B:$F,5,FALSE))</f>
        <v>Chính thức</v>
      </c>
      <c r="E25" s="62" t="s">
        <v>90</v>
      </c>
      <c r="F25" s="12" t="str">
        <f>IF($E25="","",VLOOKUP($E25,'DS Dự án'!$B:$F,2,FALSE))</f>
        <v>BI MB QA</v>
      </c>
      <c r="G25" s="10" t="str">
        <f>IF($E25="","",VLOOKUP($E25,'DS Dự án'!$B:$F,4,FALSE))</f>
        <v>CongLC</v>
      </c>
      <c r="H25" s="10" t="str">
        <f>IF($E25="","",VLOOKUP(E25,'DS Dự án'!$B:$F,5,0))</f>
        <v>Đóng</v>
      </c>
      <c r="I25" s="28" t="str">
        <f t="shared" si="48"/>
        <v>phucldB_MB_AUTOMATION_QA_CNTT</v>
      </c>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row>
    <row r="26" spans="1:61" s="1" customFormat="1">
      <c r="A26" s="24" t="s">
        <v>78</v>
      </c>
      <c r="B26" s="10" t="str">
        <f>IF(A26="","",VLOOKUP(A26,'DS Nhân viên'!B:C,2,FALSE))</f>
        <v>Ngô Thị Nhung</v>
      </c>
      <c r="C26" s="11" t="str">
        <f>IF(A26="","",VLOOKUP(A26,'DS Nhân viên'!B:D,3,FALSE))</f>
        <v>P.Kỹ thuật IBS</v>
      </c>
      <c r="D26" s="11" t="str">
        <f>IF(A26="","",VLOOKUP(A26,'DS Nhân viên'!$B:$F,5,FALSE))</f>
        <v>Chính thức</v>
      </c>
      <c r="E26" s="62" t="s">
        <v>90</v>
      </c>
      <c r="F26" s="12" t="str">
        <f>IF($E26="","",VLOOKUP($E26,'DS Dự án'!$B:$F,2,FALSE))</f>
        <v>BI MB QA</v>
      </c>
      <c r="G26" s="10" t="str">
        <f>IF($E26="","",VLOOKUP($E26,'DS Dự án'!$B:$F,4,FALSE))</f>
        <v>CongLC</v>
      </c>
      <c r="H26" s="10" t="str">
        <f>IF($E26="","",VLOOKUP(E26,'DS Dự án'!$B:$F,5,0))</f>
        <v>Đóng</v>
      </c>
      <c r="I26" s="28" t="str">
        <f t="shared" si="48"/>
        <v>nhungnt2B_MB_AUTOMATION_QA_CNTT</v>
      </c>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row>
    <row r="27" spans="1:61" s="1" customFormat="1">
      <c r="A27" s="24" t="s">
        <v>69</v>
      </c>
      <c r="B27" s="10" t="str">
        <f>IF(A27="","",VLOOKUP(A27,'DS Nhân viên'!B:C,2,FALSE))</f>
        <v>Dương Hồng Ngọc</v>
      </c>
      <c r="C27" s="11" t="str">
        <f>IF(A27="","",VLOOKUP(A27,'DS Nhân viên'!B:D,3,FALSE))</f>
        <v>P.Nghiệp vụ IBS</v>
      </c>
      <c r="D27" s="11" t="str">
        <f>IF(A27="","",VLOOKUP(A27,'DS Nhân viên'!$B:$F,5,FALSE))</f>
        <v>Chính thức</v>
      </c>
      <c r="E27" s="62" t="s">
        <v>90</v>
      </c>
      <c r="F27" s="12" t="str">
        <f>IF($E27="","",VLOOKUP($E27,'DS Dự án'!$B:$F,2,FALSE))</f>
        <v>BI MB QA</v>
      </c>
      <c r="G27" s="10" t="str">
        <f>IF($E27="","",VLOOKUP($E27,'DS Dự án'!$B:$F,4,FALSE))</f>
        <v>CongLC</v>
      </c>
      <c r="H27" s="10" t="str">
        <f>IF($E27="","",VLOOKUP(E27,'DS Dự án'!$B:$F,5,0))</f>
        <v>Đóng</v>
      </c>
      <c r="I27" s="28" t="str">
        <f t="shared" si="48"/>
        <v>ngocdhB_MB_AUTOMATION_QA_CNTT</v>
      </c>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row>
    <row r="28" spans="1:61" s="1" customFormat="1">
      <c r="A28" s="24" t="s">
        <v>71</v>
      </c>
      <c r="B28" s="10" t="str">
        <f>IF(A28="","",VLOOKUP(A28,'DS Nhân viên'!B:C,2,FALSE))</f>
        <v>Lê Chí Công</v>
      </c>
      <c r="C28" s="11" t="str">
        <f>IF(A28="","",VLOOKUP(A28,'DS Nhân viên'!B:D,3,FALSE))</f>
        <v>P.Kỹ thuật IBS</v>
      </c>
      <c r="D28" s="11" t="str">
        <f>IF(A28="","",VLOOKUP(A28,'DS Nhân viên'!$B:$F,5,FALSE))</f>
        <v>Chính thức</v>
      </c>
      <c r="E28" s="62" t="s">
        <v>90</v>
      </c>
      <c r="F28" s="12" t="str">
        <f>IF($E28="","",VLOOKUP($E28,'DS Dự án'!$B:$F,2,FALSE))</f>
        <v>BI MB QA</v>
      </c>
      <c r="G28" s="10" t="str">
        <f>IF($E28="","",VLOOKUP($E28,'DS Dự án'!$B:$F,4,FALSE))</f>
        <v>CongLC</v>
      </c>
      <c r="H28" s="10" t="str">
        <f>IF($E28="","",VLOOKUP(E28,'DS Dự án'!$B:$F,5,0))</f>
        <v>Đóng</v>
      </c>
      <c r="I28" s="28" t="s">
        <v>92</v>
      </c>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row>
    <row r="29" spans="1:61" s="1" customFormat="1">
      <c r="A29" s="24" t="s">
        <v>89</v>
      </c>
      <c r="B29" s="10" t="str">
        <f>IF(A29="","",VLOOKUP(A29,'DS Nhân viên'!B:C,2,FALSE))</f>
        <v>Trần Huyền Trang</v>
      </c>
      <c r="C29" s="11" t="str">
        <f>IF(A29="","",VLOOKUP(A29,'DS Nhân viên'!B:D,3,FALSE))</f>
        <v>P.Nghiệp vụ IBS</v>
      </c>
      <c r="D29" s="11" t="str">
        <f>IF(A29="","",VLOOKUP(A29,'DS Nhân viên'!$B:$F,5,FALSE))</f>
        <v>Chính thức</v>
      </c>
      <c r="E29" s="62" t="s">
        <v>93</v>
      </c>
      <c r="F29" s="12" t="str">
        <f>IF($E29="","",VLOOKUP($E29,'DS Dự án'!$B:$F,2,FALSE))</f>
        <v>BI MB QLĐT</v>
      </c>
      <c r="G29" s="10" t="str">
        <f>IF($E29="","",VLOOKUP($E29,'DS Dự án'!$B:$F,4,FALSE))</f>
        <v>CongLC</v>
      </c>
      <c r="H29" s="10" t="str">
        <f>IF($E29="","",VLOOKUP(E29,'DS Dự án'!$B:$F,5,0))</f>
        <v>Đang thực hiện (Đã có hợp đồng)</v>
      </c>
      <c r="I29" s="28" t="str">
        <f t="shared" ref="I29:I60" si="49">A29&amp;E29</f>
        <v>trangthB_MB_QLDT</v>
      </c>
      <c r="J29" s="25">
        <v>0.3</v>
      </c>
      <c r="K29" s="25">
        <v>0.3</v>
      </c>
      <c r="L29" s="25">
        <v>0.3</v>
      </c>
      <c r="M29" s="25">
        <v>0.3</v>
      </c>
      <c r="N29" s="25">
        <v>0.5</v>
      </c>
      <c r="O29" s="25">
        <v>0.5</v>
      </c>
      <c r="P29" s="25"/>
      <c r="Q29" s="25">
        <v>0.5</v>
      </c>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row>
    <row r="30" spans="1:61" s="1" customFormat="1">
      <c r="A30" s="24" t="s">
        <v>84</v>
      </c>
      <c r="B30" s="10" t="str">
        <f>IF(A30="","",VLOOKUP(A30,'DS Nhân viên'!B:C,2,FALSE))</f>
        <v>Hà Mạnh Tân</v>
      </c>
      <c r="C30" s="11" t="str">
        <f>IF(A30="","",VLOOKUP(A30,'DS Nhân viên'!B:D,3,FALSE))</f>
        <v>P.Nghiệp vụ IBS</v>
      </c>
      <c r="D30" s="11" t="str">
        <f>IF(A30="","",VLOOKUP(A30,'DS Nhân viên'!$B:$F,5,FALSE))</f>
        <v>Chính thức</v>
      </c>
      <c r="E30" s="62" t="s">
        <v>93</v>
      </c>
      <c r="F30" s="12" t="str">
        <f>IF($E30="","",VLOOKUP($E30,'DS Dự án'!$B:$F,2,FALSE))</f>
        <v>BI MB QLĐT</v>
      </c>
      <c r="G30" s="10" t="str">
        <f>IF($E30="","",VLOOKUP($E30,'DS Dự án'!$B:$F,4,FALSE))</f>
        <v>CongLC</v>
      </c>
      <c r="H30" s="10" t="str">
        <f>IF($E30="","",VLOOKUP(E30,'DS Dự án'!$B:$F,5,0))</f>
        <v>Đang thực hiện (Đã có hợp đồng)</v>
      </c>
      <c r="I30" s="28" t="str">
        <f t="shared" si="49"/>
        <v>tanhmB_MB_QLDT</v>
      </c>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row>
    <row r="31" spans="1:61" s="1" customFormat="1">
      <c r="A31" s="24" t="s">
        <v>91</v>
      </c>
      <c r="B31" s="10" t="str">
        <f>IF(A31="","",VLOOKUP(A31,'DS Nhân viên'!B:C,2,FALSE))</f>
        <v>Lê Đình Phúc</v>
      </c>
      <c r="C31" s="11" t="str">
        <f>IF(A31="","",VLOOKUP(A31,'DS Nhân viên'!B:D,3,FALSE))</f>
        <v>P.Kỹ thuật IBS</v>
      </c>
      <c r="D31" s="11" t="str">
        <f>IF(A31="","",VLOOKUP(A31,'DS Nhân viên'!$B:$F,5,FALSE))</f>
        <v>Chính thức</v>
      </c>
      <c r="E31" s="62" t="s">
        <v>93</v>
      </c>
      <c r="F31" s="12" t="str">
        <f>IF($E31="","",VLOOKUP($E31,'DS Dự án'!$B:$F,2,FALSE))</f>
        <v>BI MB QLĐT</v>
      </c>
      <c r="G31" s="10" t="str">
        <f>IF($E31="","",VLOOKUP($E31,'DS Dự án'!$B:$F,4,FALSE))</f>
        <v>CongLC</v>
      </c>
      <c r="H31" s="10" t="str">
        <f>IF($E31="","",VLOOKUP(E31,'DS Dự án'!$B:$F,5,0))</f>
        <v>Đang thực hiện (Đã có hợp đồng)</v>
      </c>
      <c r="I31" s="28" t="str">
        <f t="shared" si="49"/>
        <v>phucldB_MB_QLDT</v>
      </c>
      <c r="J31" s="25">
        <v>0.5</v>
      </c>
      <c r="K31" s="25">
        <v>0.5</v>
      </c>
      <c r="L31" s="25">
        <v>0.5</v>
      </c>
      <c r="M31" s="25">
        <v>0.5</v>
      </c>
      <c r="N31" s="25">
        <v>0.5</v>
      </c>
      <c r="O31" s="25">
        <v>0.5</v>
      </c>
      <c r="P31" s="25"/>
      <c r="Q31" s="25">
        <v>0.5</v>
      </c>
      <c r="R31" s="25">
        <v>0.5</v>
      </c>
      <c r="S31" s="25">
        <v>0.5</v>
      </c>
      <c r="T31" s="25">
        <v>0.5</v>
      </c>
      <c r="U31" s="25">
        <v>0.5</v>
      </c>
      <c r="V31" s="25">
        <v>0.5</v>
      </c>
      <c r="W31" s="25">
        <v>0.5</v>
      </c>
      <c r="X31" s="25">
        <v>0.5</v>
      </c>
      <c r="Y31" s="25">
        <v>0.5</v>
      </c>
      <c r="Z31" s="25">
        <v>0.5</v>
      </c>
      <c r="AA31" s="25">
        <v>0.5</v>
      </c>
      <c r="AB31" s="25">
        <v>0.5</v>
      </c>
      <c r="AC31" s="25">
        <v>0.5</v>
      </c>
      <c r="AD31" s="25">
        <v>0.5</v>
      </c>
      <c r="AE31" s="25">
        <v>0.5</v>
      </c>
      <c r="AF31" s="25">
        <v>0.5</v>
      </c>
      <c r="AG31" s="25">
        <v>0.5</v>
      </c>
      <c r="AH31" s="25">
        <v>0.5</v>
      </c>
      <c r="AI31" s="25">
        <v>0.5</v>
      </c>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row>
    <row r="32" spans="1:61" s="1" customFormat="1">
      <c r="A32" s="24" t="s">
        <v>71</v>
      </c>
      <c r="B32" s="10" t="str">
        <f>IF(A32="","",VLOOKUP(A32,'DS Nhân viên'!B:C,2,FALSE))</f>
        <v>Lê Chí Công</v>
      </c>
      <c r="C32" s="11" t="str">
        <f>IF(A32="","",VLOOKUP(A32,'DS Nhân viên'!B:D,3,FALSE))</f>
        <v>P.Kỹ thuật IBS</v>
      </c>
      <c r="D32" s="11" t="str">
        <f>IF(A32="","",VLOOKUP(A32,'DS Nhân viên'!$B:$F,5,FALSE))</f>
        <v>Chính thức</v>
      </c>
      <c r="E32" s="62" t="s">
        <v>93</v>
      </c>
      <c r="F32" s="12" t="str">
        <f>IF($E32="","",VLOOKUP($E32,'DS Dự án'!$B:$F,2,FALSE))</f>
        <v>BI MB QLĐT</v>
      </c>
      <c r="G32" s="10" t="str">
        <f>IF($E32="","",VLOOKUP($E32,'DS Dự án'!$B:$F,4,FALSE))</f>
        <v>CongLC</v>
      </c>
      <c r="H32" s="10" t="str">
        <f>IF($E32="","",VLOOKUP(E32,'DS Dự án'!$B:$F,5,0))</f>
        <v>Đang thực hiện (Đã có hợp đồng)</v>
      </c>
      <c r="I32" s="28" t="str">
        <f t="shared" si="49"/>
        <v>conglcB_MB_QLDT</v>
      </c>
      <c r="J32" s="25">
        <v>0.2</v>
      </c>
      <c r="K32" s="25">
        <v>0.2</v>
      </c>
      <c r="L32" s="25">
        <v>0.2</v>
      </c>
      <c r="M32" s="25">
        <v>0.2</v>
      </c>
      <c r="N32" s="25">
        <v>0.1</v>
      </c>
      <c r="O32" s="25">
        <v>0.1</v>
      </c>
      <c r="P32" s="25"/>
      <c r="Q32" s="25">
        <v>0.2</v>
      </c>
      <c r="R32" s="25">
        <v>0.2</v>
      </c>
      <c r="S32" s="25">
        <v>0.2</v>
      </c>
      <c r="T32" s="25">
        <v>0.2</v>
      </c>
      <c r="U32" s="25">
        <v>0.2</v>
      </c>
      <c r="V32" s="25">
        <v>0.2</v>
      </c>
      <c r="W32" s="25">
        <v>0.2</v>
      </c>
      <c r="X32" s="25">
        <v>0.2</v>
      </c>
      <c r="Y32" s="25">
        <v>0.2</v>
      </c>
      <c r="Z32" s="25">
        <v>0.2</v>
      </c>
      <c r="AA32" s="25">
        <v>0.2</v>
      </c>
      <c r="AB32" s="25">
        <v>0.2</v>
      </c>
      <c r="AC32" s="25">
        <v>0.2</v>
      </c>
      <c r="AD32" s="25">
        <v>0.2</v>
      </c>
      <c r="AE32" s="25">
        <v>0.2</v>
      </c>
      <c r="AF32" s="25">
        <v>0.2</v>
      </c>
      <c r="AG32" s="25">
        <v>0.2</v>
      </c>
      <c r="AH32" s="25">
        <v>0.2</v>
      </c>
      <c r="AI32" s="25">
        <v>0.2</v>
      </c>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row>
    <row r="33" spans="1:61" s="1" customFormat="1">
      <c r="A33" s="13" t="s">
        <v>81</v>
      </c>
      <c r="B33" s="10" t="str">
        <f>IF(A33="","",VLOOKUP(A33,'DS Nhân viên'!B:C,2,FALSE))</f>
        <v>Nguyễn Thanh Mai</v>
      </c>
      <c r="C33" s="11" t="str">
        <f>IF(A33="","",VLOOKUP(A33,'DS Nhân viên'!B:D,3,FALSE))</f>
        <v>P.Nghiệp vụ IBS</v>
      </c>
      <c r="D33" s="11" t="str">
        <f>IF(A33="","",VLOOKUP(A33,'DS Nhân viên'!$B:$F,5,FALSE))</f>
        <v>Chính thức</v>
      </c>
      <c r="E33" s="62" t="s">
        <v>93</v>
      </c>
      <c r="F33" s="12" t="str">
        <f>IF($E33="","",VLOOKUP($E33,'DS Dự án'!$B:$F,2,FALSE))</f>
        <v>BI MB QLĐT</v>
      </c>
      <c r="G33" s="10" t="str">
        <f>IF($E33="","",VLOOKUP($E33,'DS Dự án'!$B:$F,4,FALSE))</f>
        <v>CongLC</v>
      </c>
      <c r="H33" s="10" t="str">
        <f>IF($E33="","",VLOOKUP(E33,'DS Dự án'!$B:$F,5,0))</f>
        <v>Đang thực hiện (Đã có hợp đồng)</v>
      </c>
      <c r="I33" s="28" t="str">
        <f t="shared" si="49"/>
        <v>maintB_MB_QLDT</v>
      </c>
      <c r="J33" s="25"/>
      <c r="K33" s="25"/>
      <c r="L33" s="25"/>
      <c r="M33" s="25"/>
      <c r="N33" s="25"/>
      <c r="O33" s="25"/>
      <c r="P33" s="25"/>
      <c r="Q33" s="25"/>
      <c r="R33" s="25">
        <v>0.5</v>
      </c>
      <c r="S33" s="25">
        <v>0.5</v>
      </c>
      <c r="T33" s="25">
        <v>0.5</v>
      </c>
      <c r="U33" s="25">
        <v>0.5</v>
      </c>
      <c r="V33" s="25">
        <v>0.5</v>
      </c>
      <c r="W33" s="25">
        <v>0.5</v>
      </c>
      <c r="X33" s="25">
        <v>0.5</v>
      </c>
      <c r="Y33" s="25">
        <v>0.5</v>
      </c>
      <c r="Z33" s="25">
        <v>0.5</v>
      </c>
      <c r="AA33" s="25">
        <v>0.5</v>
      </c>
      <c r="AB33" s="25">
        <v>0.5</v>
      </c>
      <c r="AC33" s="25">
        <v>0.5</v>
      </c>
      <c r="AD33" s="25">
        <v>0.5</v>
      </c>
      <c r="AE33" s="25">
        <v>0.5</v>
      </c>
      <c r="AF33" s="25">
        <v>0.5</v>
      </c>
      <c r="AG33" s="25">
        <v>0.5</v>
      </c>
      <c r="AH33" s="25">
        <v>0.5</v>
      </c>
      <c r="AI33" s="25">
        <v>0.5</v>
      </c>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row>
    <row r="34" spans="1:61" s="1" customFormat="1">
      <c r="A34" s="13" t="s">
        <v>84</v>
      </c>
      <c r="B34" s="10" t="str">
        <f>IF(A34="","",VLOOKUP(A34,'DS Nhân viên'!B:C,2,FALSE))</f>
        <v>Hà Mạnh Tân</v>
      </c>
      <c r="C34" s="11" t="str">
        <f>IF(A34="","",VLOOKUP(A34,'DS Nhân viên'!B:D,3,FALSE))</f>
        <v>P.Nghiệp vụ IBS</v>
      </c>
      <c r="D34" s="11" t="str">
        <f>IF(A34="","",VLOOKUP(A34,'DS Nhân viên'!$B:$F,5,FALSE))</f>
        <v>Chính thức</v>
      </c>
      <c r="E34" s="62" t="s">
        <v>94</v>
      </c>
      <c r="F34" s="12" t="str">
        <f>IF($E34="","",VLOOKUP($E34,'DS Dự án'!$B:$F,2,FALSE))</f>
        <v>BI QLNL THADICO</v>
      </c>
      <c r="G34" s="10" t="str">
        <f>IF($E34="","",VLOOKUP($E34,'DS Dự án'!$B:$F,4,FALSE))</f>
        <v>AnhHT</v>
      </c>
      <c r="H34" s="10" t="str">
        <f>IF($E34="","",VLOOKUP(E34,'DS Dự án'!$B:$F,5,0))</f>
        <v>Đang thực hiện (Đã có hợp đồng)</v>
      </c>
      <c r="I34" s="28" t="str">
        <f t="shared" si="49"/>
        <v>tanhmBD_TH0_01_00</v>
      </c>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row>
    <row r="35" spans="1:61" s="1" customFormat="1">
      <c r="A35" s="13" t="s">
        <v>67</v>
      </c>
      <c r="B35" s="10" t="str">
        <f>IF(A35="","",VLOOKUP(A35,'DS Nhân viên'!B:C,2,FALSE))</f>
        <v>Trịnh Ngọc Tâm</v>
      </c>
      <c r="C35" s="11" t="str">
        <f>IF(A35="","",VLOOKUP(A35,'DS Nhân viên'!B:D,3,FALSE))</f>
        <v>P.Kỹ thuật IBS</v>
      </c>
      <c r="D35" s="11" t="str">
        <f>IF(A35="","",VLOOKUP(A35,'DS Nhân viên'!$B:$F,5,FALSE))</f>
        <v>Chính thức</v>
      </c>
      <c r="E35" s="62" t="s">
        <v>94</v>
      </c>
      <c r="F35" s="12" t="str">
        <f>IF($E35="","",VLOOKUP($E35,'DS Dự án'!$B:$F,2,FALSE))</f>
        <v>BI QLNL THADICO</v>
      </c>
      <c r="G35" s="10" t="str">
        <f>IF($E35="","",VLOOKUP($E35,'DS Dự án'!$B:$F,4,FALSE))</f>
        <v>AnhHT</v>
      </c>
      <c r="H35" s="10" t="str">
        <f>IF($E35="","",VLOOKUP(E35,'DS Dự án'!$B:$F,5,0))</f>
        <v>Đang thực hiện (Đã có hợp đồng)</v>
      </c>
      <c r="I35" s="28" t="str">
        <f t="shared" si="49"/>
        <v>tamtnBD_TH0_01_00</v>
      </c>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row>
    <row r="36" spans="1:61" s="1" customFormat="1">
      <c r="A36" s="13" t="s">
        <v>87</v>
      </c>
      <c r="B36" s="10" t="str">
        <f>IF(A36="","",VLOOKUP(A36,'DS Nhân viên'!B:C,2,FALSE))</f>
        <v>Trần Thị Thanh Huyền</v>
      </c>
      <c r="C36" s="11" t="str">
        <f>IF(A36="","",VLOOKUP(A36,'DS Nhân viên'!B:D,3,FALSE))</f>
        <v>P.Nghiệp vụ IBS</v>
      </c>
      <c r="D36" s="11" t="str">
        <f>IF(A36="","",VLOOKUP(A36,'DS Nhân viên'!$B:$F,5,FALSE))</f>
        <v>Chính thức</v>
      </c>
      <c r="E36" s="62" t="s">
        <v>94</v>
      </c>
      <c r="F36" s="12" t="str">
        <f>IF($E36="","",VLOOKUP($E36,'DS Dự án'!$B:$F,2,FALSE))</f>
        <v>BI QLNL THADICO</v>
      </c>
      <c r="G36" s="10" t="str">
        <f>IF($E36="","",VLOOKUP($E36,'DS Dự án'!$B:$F,4,FALSE))</f>
        <v>AnhHT</v>
      </c>
      <c r="H36" s="10" t="str">
        <f>IF($E36="","",VLOOKUP(E36,'DS Dự án'!$B:$F,5,0))</f>
        <v>Đang thực hiện (Đã có hợp đồng)</v>
      </c>
      <c r="I36" s="28" t="str">
        <f t="shared" si="49"/>
        <v>huyentttBD_TH0_01_00</v>
      </c>
      <c r="J36" s="25">
        <v>0.2</v>
      </c>
      <c r="K36" s="25">
        <v>0.2</v>
      </c>
      <c r="L36" s="25">
        <v>0.2</v>
      </c>
      <c r="M36" s="25"/>
      <c r="N36" s="25">
        <v>0.2</v>
      </c>
      <c r="O36" s="25">
        <v>0.2</v>
      </c>
      <c r="P36" s="25"/>
      <c r="Q36" s="25"/>
      <c r="R36" s="25">
        <v>0.35</v>
      </c>
      <c r="S36" s="25">
        <v>0.3</v>
      </c>
      <c r="T36" s="25">
        <v>0.35</v>
      </c>
      <c r="U36" s="25">
        <v>0.3</v>
      </c>
      <c r="V36" s="25">
        <v>0.35</v>
      </c>
      <c r="W36" s="25">
        <v>0.15</v>
      </c>
      <c r="X36" s="25">
        <v>0.15</v>
      </c>
      <c r="Y36" s="25">
        <v>0.15</v>
      </c>
      <c r="Z36" s="25">
        <v>0.15</v>
      </c>
      <c r="AA36" s="25">
        <v>0.15</v>
      </c>
      <c r="AB36" s="25">
        <v>0.15</v>
      </c>
      <c r="AC36" s="25">
        <v>0.15</v>
      </c>
      <c r="AD36" s="25">
        <v>0.15</v>
      </c>
      <c r="AE36" s="25">
        <v>0.15</v>
      </c>
      <c r="AF36" s="25">
        <v>0.15</v>
      </c>
      <c r="AG36" s="25">
        <v>0.15</v>
      </c>
      <c r="AH36" s="25">
        <v>0.15</v>
      </c>
      <c r="AI36" s="25">
        <v>0.15</v>
      </c>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row>
    <row r="37" spans="1:61" s="1" customFormat="1">
      <c r="A37" s="13" t="s">
        <v>77</v>
      </c>
      <c r="B37" s="10" t="str">
        <f>IF(A37="","",VLOOKUP(A37,'DS Nhân viên'!B:C,2,FALSE))</f>
        <v>Hoàng Tuấn Anh</v>
      </c>
      <c r="C37" s="11" t="str">
        <f>IF(A37="","",VLOOKUP(A37,'DS Nhân viên'!B:D,3,FALSE))</f>
        <v>P.Nghiệp vụ IBS</v>
      </c>
      <c r="D37" s="11" t="str">
        <f>IF(A37="","",VLOOKUP(A37,'DS Nhân viên'!$B:$F,5,FALSE))</f>
        <v>Chính thức</v>
      </c>
      <c r="E37" s="62" t="s">
        <v>94</v>
      </c>
      <c r="F37" s="12" t="str">
        <f>IF($E37="","",VLOOKUP($E37,'DS Dự án'!$B:$F,2,FALSE))</f>
        <v>BI QLNL THADICO</v>
      </c>
      <c r="G37" s="10" t="str">
        <f>IF($E37="","",VLOOKUP($E37,'DS Dự án'!$B:$F,4,FALSE))</f>
        <v>AnhHT</v>
      </c>
      <c r="H37" s="10" t="str">
        <f>IF($E37="","",VLOOKUP(E37,'DS Dự án'!$B:$F,5,0))</f>
        <v>Đang thực hiện (Đã có hợp đồng)</v>
      </c>
      <c r="I37" s="28" t="str">
        <f t="shared" si="49"/>
        <v>anhhtBD_TH0_01_00</v>
      </c>
      <c r="J37" s="25"/>
      <c r="K37" s="25">
        <v>0.2</v>
      </c>
      <c r="L37" s="25">
        <v>0.1</v>
      </c>
      <c r="M37" s="25">
        <v>0.1</v>
      </c>
      <c r="N37" s="25">
        <v>0.1</v>
      </c>
      <c r="O37" s="25"/>
      <c r="P37" s="25"/>
      <c r="Q37" s="25">
        <v>0.15</v>
      </c>
      <c r="R37" s="25">
        <v>0.15</v>
      </c>
      <c r="S37" s="25">
        <v>0.15</v>
      </c>
      <c r="T37" s="25">
        <v>0.15</v>
      </c>
      <c r="U37" s="25">
        <v>0.15</v>
      </c>
      <c r="V37" s="25">
        <v>0.15</v>
      </c>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row>
    <row r="38" spans="1:61" s="1" customFormat="1">
      <c r="A38" s="13" t="s">
        <v>89</v>
      </c>
      <c r="B38" s="10" t="str">
        <f>IF(A38="","",VLOOKUP(A38,'DS Nhân viên'!B:C,2,FALSE))</f>
        <v>Trần Huyền Trang</v>
      </c>
      <c r="C38" s="11" t="str">
        <f>IF(B38="","",VLOOKUP(B38,'DS Nhân viên'!C:D,2,FALSE))</f>
        <v>P.Nghiệp vụ IBS</v>
      </c>
      <c r="D38" s="11" t="str">
        <f>IF(A38="","",VLOOKUP(A38,'DS Nhân viên'!$B:$F,5,FALSE))</f>
        <v>Chính thức</v>
      </c>
      <c r="E38" s="62" t="s">
        <v>95</v>
      </c>
      <c r="F38" s="12" t="str">
        <f>IF($E38="","",VLOOKUP($E38,'DS Dự án'!$B:$F,2,FALSE))</f>
        <v>BI TK POWER BI BTMHH</v>
      </c>
      <c r="G38" s="10" t="str">
        <f>IF($E38="","",VLOOKUP($E38,'DS Dự án'!$B:$F,4,FALSE))</f>
        <v>AnhHT</v>
      </c>
      <c r="H38" s="10" t="str">
        <f>IF($E38="","",VLOOKUP(E38,'DS Dự án'!$B:$F,5,0))</f>
        <v>Bảo hành, Bảo trì</v>
      </c>
      <c r="I38" s="28" t="str">
        <f t="shared" si="49"/>
        <v xml:space="preserve">trangthBD_BT0_01_00 </v>
      </c>
      <c r="J38" s="25">
        <v>0.7</v>
      </c>
      <c r="K38" s="25">
        <v>0.7</v>
      </c>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row>
    <row r="39" spans="1:61" s="1" customFormat="1">
      <c r="A39" s="13" t="s">
        <v>77</v>
      </c>
      <c r="B39" s="10" t="str">
        <f>IF(A39="","",VLOOKUP(A39,'DS Nhân viên'!B:C,2,FALSE))</f>
        <v>Hoàng Tuấn Anh</v>
      </c>
      <c r="C39" s="11" t="str">
        <f>IF(B39="","",VLOOKUP(B39,'DS Nhân viên'!C:D,2,FALSE))</f>
        <v>P.Nghiệp vụ IBS</v>
      </c>
      <c r="D39" s="11" t="str">
        <f>IF(A39="","",VLOOKUP(A39,'DS Nhân viên'!$B:$F,5,FALSE))</f>
        <v>Chính thức</v>
      </c>
      <c r="E39" s="62" t="s">
        <v>95</v>
      </c>
      <c r="F39" s="12" t="str">
        <f>IF($E39="","",VLOOKUP($E39,'DS Dự án'!$B:$F,2,FALSE))</f>
        <v>BI TK POWER BI BTMHH</v>
      </c>
      <c r="G39" s="10" t="str">
        <f>IF($E39="","",VLOOKUP($E39,'DS Dự án'!$B:$F,4,FALSE))</f>
        <v>AnhHT</v>
      </c>
      <c r="H39" s="10" t="str">
        <f>IF($E39="","",VLOOKUP(E39,'DS Dự án'!$B:$F,5,0))</f>
        <v>Bảo hành, Bảo trì</v>
      </c>
      <c r="I39" s="28" t="str">
        <f t="shared" si="49"/>
        <v xml:space="preserve">anhhtBD_BT0_01_00 </v>
      </c>
      <c r="J39" s="25">
        <v>0.6</v>
      </c>
      <c r="K39" s="25">
        <v>0.5</v>
      </c>
      <c r="L39" s="25">
        <v>0.1</v>
      </c>
      <c r="M39" s="25">
        <v>0.1</v>
      </c>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row>
    <row r="40" spans="1:61" s="1" customFormat="1">
      <c r="A40" s="13" t="s">
        <v>67</v>
      </c>
      <c r="B40" s="10" t="str">
        <f>IF(A40="","",VLOOKUP(A40,'DS Nhân viên'!B:C,2,FALSE))</f>
        <v>Trịnh Ngọc Tâm</v>
      </c>
      <c r="C40" s="11" t="str">
        <f>IF(A40="","",VLOOKUP(A40,'DS Nhân viên'!B:D,3,FALSE))</f>
        <v>P.Kỹ thuật IBS</v>
      </c>
      <c r="D40" s="11" t="str">
        <f>IF(A40="","",VLOOKUP(A40,'DS Nhân viên'!$B:$F,5,FALSE))</f>
        <v>Chính thức</v>
      </c>
      <c r="E40" s="69" t="s">
        <v>95</v>
      </c>
      <c r="F40" s="12" t="str">
        <f>IF($E40="","",VLOOKUP($E40,'DS Dự án'!$B:$F,2,FALSE))</f>
        <v>BI TK POWER BI BTMHH</v>
      </c>
      <c r="G40" s="10" t="str">
        <f>IF($E40="","",VLOOKUP($E40,'DS Dự án'!$B:$F,4,FALSE))</f>
        <v>AnhHT</v>
      </c>
      <c r="H40" s="10" t="str">
        <f>IF($E40="","",VLOOKUP(E40,'DS Dự án'!$B:$F,5,0))</f>
        <v>Bảo hành, Bảo trì</v>
      </c>
      <c r="I40" s="28" t="str">
        <f t="shared" si="49"/>
        <v xml:space="preserve">tamtnBD_BT0_01_00 </v>
      </c>
      <c r="J40" s="25"/>
      <c r="K40" s="25"/>
      <c r="L40" s="25"/>
      <c r="M40" s="25"/>
      <c r="N40" s="25"/>
      <c r="O40" s="25"/>
      <c r="P40" s="25"/>
      <c r="Q40" s="25"/>
      <c r="R40" s="25">
        <v>0.1</v>
      </c>
      <c r="S40" s="25">
        <v>0.1</v>
      </c>
      <c r="T40" s="25">
        <v>0.1</v>
      </c>
      <c r="U40" s="25">
        <v>0.1</v>
      </c>
      <c r="V40" s="25">
        <v>0.1</v>
      </c>
      <c r="W40" s="25">
        <v>0.1</v>
      </c>
      <c r="X40" s="25">
        <v>0.1</v>
      </c>
      <c r="Y40" s="25">
        <v>0.1</v>
      </c>
      <c r="Z40" s="25">
        <v>0.1</v>
      </c>
      <c r="AA40" s="25">
        <v>0.1</v>
      </c>
      <c r="AB40" s="25">
        <v>0.1</v>
      </c>
      <c r="AC40" s="25">
        <v>0.1</v>
      </c>
      <c r="AD40" s="25">
        <v>0.1</v>
      </c>
      <c r="AE40" s="25">
        <v>0.1</v>
      </c>
      <c r="AF40" s="25">
        <v>0.1</v>
      </c>
      <c r="AG40" s="25">
        <v>0.1</v>
      </c>
      <c r="AH40" s="25">
        <v>0.1</v>
      </c>
      <c r="AI40" s="25">
        <v>0.1</v>
      </c>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row>
    <row r="41" spans="1:61" s="1" customFormat="1">
      <c r="A41" s="13" t="s">
        <v>77</v>
      </c>
      <c r="B41" s="10" t="str">
        <f>IF(A41="","",VLOOKUP(A41,'DS Nhân viên'!B:C,2,FALSE))</f>
        <v>Hoàng Tuấn Anh</v>
      </c>
      <c r="C41" s="11" t="str">
        <f>IF(B41="","",VLOOKUP(B41,'DS Nhân viên'!C:D,2,FALSE))</f>
        <v>P.Nghiệp vụ IBS</v>
      </c>
      <c r="D41" s="11" t="str">
        <f>IF(A41="","",VLOOKUP(A41,'DS Nhân viên'!$B:$F,5,FALSE))</f>
        <v>Chính thức</v>
      </c>
      <c r="E41" s="62" t="s">
        <v>96</v>
      </c>
      <c r="F41" s="12" t="str">
        <f>IF($E41="","",VLOOKUP($E41,'DS Dự án'!$B:$F,2,FALSE))</f>
        <v>BT BI DWH VCR NAM 2</v>
      </c>
      <c r="G41" s="10" t="str">
        <f>IF($E41="","",VLOOKUP($E41,'DS Dự án'!$B:$F,4,FALSE))</f>
        <v>AnhHT</v>
      </c>
      <c r="H41" s="10" t="str">
        <f>IF($E41="","",VLOOKUP(E41,'DS Dự án'!$B:$F,5,0))</f>
        <v>Bảo hành, Bảo trì</v>
      </c>
      <c r="I41" s="28" t="str">
        <f t="shared" si="49"/>
        <v>anhhtBB_VR1_02_00</v>
      </c>
      <c r="J41" s="25"/>
      <c r="K41" s="25"/>
      <c r="L41" s="25">
        <v>0.1</v>
      </c>
      <c r="M41" s="25">
        <v>0.1</v>
      </c>
      <c r="N41" s="25">
        <v>0.1</v>
      </c>
      <c r="O41" s="25">
        <v>0.15</v>
      </c>
      <c r="P41" s="25"/>
      <c r="Q41" s="25"/>
      <c r="R41" s="25"/>
      <c r="S41" s="25"/>
      <c r="T41" s="25">
        <v>0.15</v>
      </c>
      <c r="U41" s="25">
        <v>0.15</v>
      </c>
      <c r="V41" s="25"/>
      <c r="W41" s="25"/>
      <c r="X41" s="25">
        <v>0.15</v>
      </c>
      <c r="Y41" s="25">
        <v>0.15</v>
      </c>
      <c r="Z41" s="25"/>
      <c r="AA41" s="25"/>
      <c r="AB41" s="25">
        <v>0.15</v>
      </c>
      <c r="AC41" s="25">
        <v>0.15</v>
      </c>
      <c r="AD41" s="25"/>
      <c r="AE41" s="25"/>
      <c r="AF41" s="25">
        <v>0.15</v>
      </c>
      <c r="AG41" s="25">
        <v>0.15</v>
      </c>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row>
    <row r="42" spans="1:61" s="1" customFormat="1">
      <c r="A42" s="13" t="s">
        <v>97</v>
      </c>
      <c r="B42" s="10" t="str">
        <f>IF(A42="","",VLOOKUP(A42,'DS Nhân viên'!B:C,2,FALSE))</f>
        <v>Nghiêm Thanh Tùng</v>
      </c>
      <c r="C42" s="11" t="str">
        <f>IF(A42="","",VLOOKUP(A42,'DS Nhân viên'!B:D,3,FALSE))</f>
        <v>P.Phát triển phần mềm</v>
      </c>
      <c r="D42" s="11" t="str">
        <f>IF(A42="","",VLOOKUP(A42,'DS Nhân viên'!$B:$F,5,FALSE))</f>
        <v>Chính thức</v>
      </c>
      <c r="E42" s="65" t="s">
        <v>98</v>
      </c>
      <c r="F42" s="12" t="str">
        <f>IF($E42="","",VLOOKUP($E42,'DS Dự án'!$B:$F,2,FALSE))</f>
        <v>DG2 TĐA</v>
      </c>
      <c r="G42" s="10" t="str">
        <f>IF($E42="","",VLOOKUP($E42,'DS Dự án'!$B:$F,4,FALSE))</f>
        <v>LamBH</v>
      </c>
      <c r="H42" s="10" t="str">
        <f>IF($E42="","",VLOOKUP(E42,'DS Dự án'!$B:$F,5,0))</f>
        <v>Cơ hội</v>
      </c>
      <c r="I42" s="28" t="str">
        <f t="shared" si="49"/>
        <v>tungnt2B_TDA_GD2</v>
      </c>
      <c r="J42" s="25"/>
      <c r="K42" s="25"/>
      <c r="L42" s="25"/>
      <c r="M42" s="25"/>
      <c r="N42" s="25"/>
      <c r="O42" s="25"/>
      <c r="P42" s="25"/>
      <c r="Q42" s="25">
        <v>0.5</v>
      </c>
      <c r="R42" s="25">
        <v>0.5</v>
      </c>
      <c r="S42" s="25">
        <v>0.89</v>
      </c>
      <c r="T42" s="25">
        <v>0.89</v>
      </c>
      <c r="U42" s="25">
        <v>0.89</v>
      </c>
      <c r="V42" s="25">
        <v>0.89</v>
      </c>
      <c r="W42" s="25">
        <v>0.4</v>
      </c>
      <c r="X42" s="25">
        <v>0.4</v>
      </c>
      <c r="Y42" s="25">
        <v>0.4</v>
      </c>
      <c r="Z42" s="25">
        <v>0.3</v>
      </c>
      <c r="AA42" s="25">
        <v>0.3</v>
      </c>
      <c r="AB42" s="25">
        <v>0.3</v>
      </c>
      <c r="AC42" s="25">
        <v>0.3</v>
      </c>
      <c r="AD42" s="25">
        <v>0.3</v>
      </c>
      <c r="AE42" s="25">
        <v>0.2</v>
      </c>
      <c r="AF42" s="25">
        <v>0.2</v>
      </c>
      <c r="AG42" s="25">
        <v>0.2</v>
      </c>
      <c r="AH42" s="25">
        <v>0.2</v>
      </c>
      <c r="AI42" s="25">
        <v>0.2</v>
      </c>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row>
    <row r="43" spans="1:61" s="1" customFormat="1">
      <c r="A43" s="14" t="s">
        <v>99</v>
      </c>
      <c r="B43" s="10" t="str">
        <f>IF(A43="","",VLOOKUP(A43,'DS Nhân viên'!B:C,2,FALSE))</f>
        <v>Nguyễn Văn Diên</v>
      </c>
      <c r="C43" s="11" t="str">
        <f>IF(A43="","",VLOOKUP(A43,'DS Nhân viên'!B:D,3,FALSE))</f>
        <v>P.Phát triển phần mềm</v>
      </c>
      <c r="D43" s="11" t="str">
        <f>IF(A43="","",VLOOKUP(A43,'DS Nhân viên'!$B:$F,5,FALSE))</f>
        <v>Chính thức</v>
      </c>
      <c r="E43" s="65" t="s">
        <v>98</v>
      </c>
      <c r="F43" s="12" t="str">
        <f>IF($E43="","",VLOOKUP($E43,'DS Dự án'!$B:$F,2,FALSE))</f>
        <v>DG2 TĐA</v>
      </c>
      <c r="G43" s="10" t="str">
        <f>IF($E43="","",VLOOKUP($E43,'DS Dự án'!$B:$F,4,FALSE))</f>
        <v>LamBH</v>
      </c>
      <c r="H43" s="10" t="str">
        <f>IF($E43="","",VLOOKUP(E43,'DS Dự án'!$B:$F,5,0))</f>
        <v>Cơ hội</v>
      </c>
      <c r="I43" s="28" t="str">
        <f t="shared" si="49"/>
        <v>diennvB_TDA_GD2</v>
      </c>
      <c r="J43" s="25"/>
      <c r="K43" s="25"/>
      <c r="L43" s="25"/>
      <c r="M43" s="25"/>
      <c r="N43" s="25"/>
      <c r="O43" s="25"/>
      <c r="P43" s="25"/>
      <c r="Q43" s="25"/>
      <c r="R43" s="25"/>
      <c r="S43" s="25"/>
      <c r="T43" s="25"/>
      <c r="U43" s="25"/>
      <c r="V43" s="25"/>
      <c r="W43" s="25">
        <v>0.4</v>
      </c>
      <c r="X43" s="25">
        <v>0.49</v>
      </c>
      <c r="Y43" s="25">
        <v>0.49</v>
      </c>
      <c r="Z43" s="25">
        <v>0.49</v>
      </c>
      <c r="AA43" s="25">
        <v>0.49</v>
      </c>
      <c r="AB43" s="25">
        <v>0.7</v>
      </c>
      <c r="AC43" s="25">
        <v>0.7</v>
      </c>
      <c r="AD43" s="25">
        <v>0.7</v>
      </c>
      <c r="AE43" s="25">
        <v>0.7</v>
      </c>
      <c r="AF43" s="25">
        <v>0.7</v>
      </c>
      <c r="AG43" s="25">
        <v>0.7</v>
      </c>
      <c r="AH43" s="25">
        <v>0.7</v>
      </c>
      <c r="AI43" s="25">
        <v>0.7</v>
      </c>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row>
    <row r="44" spans="1:61" s="1" customFormat="1">
      <c r="A44" s="14" t="s">
        <v>100</v>
      </c>
      <c r="B44" s="10" t="str">
        <f>IF(A44="","",VLOOKUP(A44,'DS Nhân viên'!B:C,2,FALSE))</f>
        <v>Nguyễn Khắc Mạnh</v>
      </c>
      <c r="C44" s="11" t="str">
        <f>IF(A44="","",VLOOKUP(A44,'DS Nhân viên'!B:D,3,FALSE))</f>
        <v>P.Phát triển phần mềm</v>
      </c>
      <c r="D44" s="11" t="str">
        <f>IF(A44="","",VLOOKUP(A44,'DS Nhân viên'!$B:$F,5,FALSE))</f>
        <v>Chính thức</v>
      </c>
      <c r="E44" s="65" t="s">
        <v>98</v>
      </c>
      <c r="F44" s="12" t="str">
        <f>IF($E44="","",VLOOKUP($E44,'DS Dự án'!$B:$F,2,FALSE))</f>
        <v>DG2 TĐA</v>
      </c>
      <c r="G44" s="10" t="str">
        <f>IF($E44="","",VLOOKUP($E44,'DS Dự án'!$B:$F,4,FALSE))</f>
        <v>LamBH</v>
      </c>
      <c r="H44" s="10" t="str">
        <f>IF($E44="","",VLOOKUP(E44,'DS Dự án'!$B:$F,5,0))</f>
        <v>Cơ hội</v>
      </c>
      <c r="I44" s="28" t="str">
        <f t="shared" si="49"/>
        <v>manhnkB_TDA_GD2</v>
      </c>
      <c r="J44" s="25"/>
      <c r="K44" s="25"/>
      <c r="L44" s="25"/>
      <c r="M44" s="25"/>
      <c r="N44" s="25"/>
      <c r="O44" s="25"/>
      <c r="P44" s="25"/>
      <c r="Q44" s="25"/>
      <c r="R44" s="25"/>
      <c r="S44" s="25"/>
      <c r="T44" s="25"/>
      <c r="U44" s="25"/>
      <c r="V44" s="25"/>
      <c r="W44" s="25">
        <v>0.8</v>
      </c>
      <c r="X44" s="25">
        <v>0.8</v>
      </c>
      <c r="Y44" s="25">
        <v>0.8</v>
      </c>
      <c r="Z44" s="25">
        <v>0.8</v>
      </c>
      <c r="AA44" s="25">
        <v>0.8</v>
      </c>
      <c r="AB44" s="25">
        <v>0.8</v>
      </c>
      <c r="AC44" s="25">
        <v>0.25</v>
      </c>
      <c r="AD44" s="25">
        <v>0.25</v>
      </c>
      <c r="AE44" s="25">
        <v>0.25</v>
      </c>
      <c r="AF44" s="25">
        <v>0.25</v>
      </c>
      <c r="AG44" s="25">
        <v>0.25</v>
      </c>
      <c r="AH44" s="25">
        <v>0.25</v>
      </c>
      <c r="AI44" s="25">
        <v>0.25</v>
      </c>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row>
    <row r="45" spans="1:61" s="1" customFormat="1">
      <c r="A45" s="13" t="s">
        <v>101</v>
      </c>
      <c r="B45" s="10" t="str">
        <f>IF(A45="","",VLOOKUP(A45,'DS Nhân viên'!B:C,2,FALSE))</f>
        <v>Bùi Hữu Lâm</v>
      </c>
      <c r="C45" s="11" t="str">
        <f>IF(A45="","",VLOOKUP(A45,'DS Nhân viên'!B:D,3,FALSE))</f>
        <v>P.Phát triển phần mềm</v>
      </c>
      <c r="D45" s="11" t="str">
        <f>IF(A45="","",VLOOKUP(A45,'DS Nhân viên'!$B:$F,5,FALSE))</f>
        <v>Chính thức</v>
      </c>
      <c r="E45" s="65" t="s">
        <v>98</v>
      </c>
      <c r="F45" s="12" t="str">
        <f>IF($E45="","",VLOOKUP($E45,'DS Dự án'!$B:$F,2,FALSE))</f>
        <v>DG2 TĐA</v>
      </c>
      <c r="G45" s="10" t="str">
        <f>IF($E45="","",VLOOKUP($E45,'DS Dự án'!$B:$F,4,FALSE))</f>
        <v>LamBH</v>
      </c>
      <c r="H45" s="10" t="str">
        <f>IF($E45="","",VLOOKUP(E45,'DS Dự án'!$B:$F,5,0))</f>
        <v>Cơ hội</v>
      </c>
      <c r="I45" s="28" t="str">
        <f t="shared" si="49"/>
        <v>lambhB_TDA_GD2</v>
      </c>
      <c r="J45" s="25"/>
      <c r="K45" s="25"/>
      <c r="L45" s="25"/>
      <c r="M45" s="25"/>
      <c r="N45" s="25"/>
      <c r="O45" s="25"/>
      <c r="P45" s="25"/>
      <c r="Q45" s="25">
        <v>0.5</v>
      </c>
      <c r="R45" s="25">
        <v>0.5</v>
      </c>
      <c r="S45" s="25">
        <v>0.75</v>
      </c>
      <c r="T45" s="25">
        <v>0.75</v>
      </c>
      <c r="U45" s="25">
        <v>0.75</v>
      </c>
      <c r="V45" s="25">
        <v>0.75</v>
      </c>
      <c r="W45" s="25">
        <v>0.25</v>
      </c>
      <c r="X45" s="25">
        <v>0.25</v>
      </c>
      <c r="Y45" s="25">
        <v>0.25</v>
      </c>
      <c r="Z45" s="25">
        <v>0.25</v>
      </c>
      <c r="AA45" s="25">
        <v>0.25</v>
      </c>
      <c r="AB45" s="25">
        <v>0.1</v>
      </c>
      <c r="AC45" s="25">
        <v>0.1</v>
      </c>
      <c r="AD45" s="25">
        <v>0.1</v>
      </c>
      <c r="AE45" s="25">
        <v>0.1</v>
      </c>
      <c r="AF45" s="25">
        <v>0.1</v>
      </c>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row>
    <row r="46" spans="1:61" s="1" customFormat="1">
      <c r="A46" s="27" t="s">
        <v>70</v>
      </c>
      <c r="B46" s="10" t="str">
        <f>IF(A46="","",VLOOKUP(A46,'DS Nhân viên'!B:C,2,FALSE))</f>
        <v>Lê Minh Long</v>
      </c>
      <c r="C46" s="11" t="str">
        <f>IF(A46="","",VLOOKUP(A46,'DS Nhân viên'!B:D,3,FALSE))</f>
        <v>P.Kỹ thuật IBS</v>
      </c>
      <c r="D46" s="11" t="str">
        <f>IF(A46="","",VLOOKUP(A46,'DS Nhân viên'!$B:$F,5,FALSE))</f>
        <v>Học việc</v>
      </c>
      <c r="E46" s="33" t="s">
        <v>93</v>
      </c>
      <c r="F46" s="12" t="str">
        <f>IF($E46="","",VLOOKUP($E46,'DS Dự án'!$B:$F,2,FALSE))</f>
        <v>BI MB QLĐT</v>
      </c>
      <c r="G46" s="10" t="str">
        <f>IF($E46="","",VLOOKUP($E46,'DS Dự án'!$B:$F,4,FALSE))</f>
        <v>CongLC</v>
      </c>
      <c r="H46" s="10" t="str">
        <f>IF($E46="","",VLOOKUP(E46,'DS Dự án'!$B:$F,5,0))</f>
        <v>Đang thực hiện (Đã có hợp đồng)</v>
      </c>
      <c r="I46" s="28" t="str">
        <f t="shared" si="49"/>
        <v>longlmB_MB_QLDT</v>
      </c>
      <c r="J46" s="25"/>
      <c r="K46" s="25"/>
      <c r="L46" s="25"/>
      <c r="M46" s="25"/>
      <c r="N46" s="25"/>
      <c r="O46" s="25"/>
      <c r="P46" s="25"/>
      <c r="Q46" s="25">
        <v>0</v>
      </c>
      <c r="R46" s="25">
        <v>0</v>
      </c>
      <c r="S46" s="25">
        <v>1</v>
      </c>
      <c r="T46" s="25">
        <v>1</v>
      </c>
      <c r="U46" s="25">
        <v>1</v>
      </c>
      <c r="V46" s="25">
        <v>1</v>
      </c>
      <c r="W46" s="25">
        <v>1</v>
      </c>
      <c r="X46" s="25">
        <v>1</v>
      </c>
      <c r="Y46" s="25">
        <v>1</v>
      </c>
      <c r="Z46" s="25">
        <v>1</v>
      </c>
      <c r="AA46" s="25">
        <v>1</v>
      </c>
      <c r="AB46" s="25">
        <v>1</v>
      </c>
      <c r="AC46" s="25">
        <v>1</v>
      </c>
      <c r="AD46" s="25">
        <v>1</v>
      </c>
      <c r="AE46" s="25">
        <v>1</v>
      </c>
      <c r="AF46" s="25">
        <v>1</v>
      </c>
      <c r="AG46" s="25">
        <v>1</v>
      </c>
      <c r="AH46" s="25">
        <v>1</v>
      </c>
      <c r="AI46" s="25">
        <v>1</v>
      </c>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row>
    <row r="47" spans="1:61" s="1" customFormat="1">
      <c r="A47" s="13" t="s">
        <v>69</v>
      </c>
      <c r="B47" s="55" t="str">
        <f>IF(A47="","",VLOOKUP(A47,'DS Nhân viên'!B:C,2,FALSE))</f>
        <v>Dương Hồng Ngọc</v>
      </c>
      <c r="C47" s="56" t="str">
        <f>IF(A47="","",VLOOKUP(A47,'DS Nhân viên'!B:D,3,FALSE))</f>
        <v>P.Nghiệp vụ IBS</v>
      </c>
      <c r="D47" s="56" t="str">
        <f>IF(A47="","",VLOOKUP(A47,'DS Nhân viên'!$B:$F,5,FALSE))</f>
        <v>Chính thức</v>
      </c>
      <c r="E47" s="66" t="s">
        <v>102</v>
      </c>
      <c r="F47" s="12" t="str">
        <f>IF($E47="","",VLOOKUP($E47,'DS Dự án'!$B:$F,2,FALSE))</f>
        <v>MB AUTO QA GD2</v>
      </c>
      <c r="G47" s="10" t="str">
        <f>IF($E47="","",VLOOKUP($E47,'DS Dự án'!$B:$F,4,FALSE))</f>
        <v>NgocDH</v>
      </c>
      <c r="H47" s="10" t="s">
        <v>103</v>
      </c>
      <c r="I47" s="28" t="str">
        <f t="shared" si="49"/>
        <v>ngocdhCD_MB0_01_00</v>
      </c>
      <c r="J47" s="25"/>
      <c r="K47" s="25"/>
      <c r="L47" s="25">
        <v>0.7</v>
      </c>
      <c r="M47" s="25">
        <v>0.7</v>
      </c>
      <c r="N47" s="25">
        <v>0.8</v>
      </c>
      <c r="O47" s="25">
        <v>0.8</v>
      </c>
      <c r="P47" s="25"/>
      <c r="Q47" s="25">
        <v>0.8</v>
      </c>
      <c r="R47" s="25">
        <v>0.9</v>
      </c>
      <c r="S47" s="25">
        <v>0.9</v>
      </c>
      <c r="T47" s="25">
        <v>0.9</v>
      </c>
      <c r="U47" s="25">
        <v>0.9</v>
      </c>
      <c r="V47" s="25">
        <v>0.9</v>
      </c>
      <c r="W47" s="25">
        <v>0.9</v>
      </c>
      <c r="X47" s="25">
        <v>0.9</v>
      </c>
      <c r="Y47" s="25">
        <v>0.9</v>
      </c>
      <c r="Z47" s="25">
        <v>0.9</v>
      </c>
      <c r="AA47" s="25">
        <v>0.9</v>
      </c>
      <c r="AB47" s="25">
        <v>0.9</v>
      </c>
      <c r="AC47" s="25">
        <v>0.9</v>
      </c>
      <c r="AD47" s="25">
        <v>0.9</v>
      </c>
      <c r="AE47" s="25">
        <v>0.9</v>
      </c>
      <c r="AF47" s="25">
        <v>0.9</v>
      </c>
      <c r="AG47" s="25">
        <v>0.9</v>
      </c>
      <c r="AH47" s="25">
        <v>0.9</v>
      </c>
      <c r="AI47" s="25">
        <v>0.9</v>
      </c>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row>
    <row r="48" spans="1:61" s="1" customFormat="1">
      <c r="A48" s="13" t="s">
        <v>89</v>
      </c>
      <c r="B48" s="55" t="str">
        <f>IF(A48="","",VLOOKUP(A48,'DS Nhân viên'!B:C,2,FALSE))</f>
        <v>Trần Huyền Trang</v>
      </c>
      <c r="C48" s="56" t="str">
        <f>IF(A48="","",VLOOKUP(A48,'DS Nhân viên'!B:D,3,FALSE))</f>
        <v>P.Nghiệp vụ IBS</v>
      </c>
      <c r="D48" s="56" t="str">
        <f>IF(A48="","",VLOOKUP(A48,'DS Nhân viên'!$B:$F,5,FALSE))</f>
        <v>Chính thức</v>
      </c>
      <c r="E48" s="66" t="s">
        <v>102</v>
      </c>
      <c r="F48" s="12" t="str">
        <f>IF($E48="","",VLOOKUP($E48,'DS Dự án'!$B:$F,2,FALSE))</f>
        <v>MB AUTO QA GD2</v>
      </c>
      <c r="G48" s="10" t="str">
        <f>IF($E48="","",VLOOKUP($E48,'DS Dự án'!$B:$F,4,FALSE))</f>
        <v>NgocDH</v>
      </c>
      <c r="H48" s="10" t="s">
        <v>103</v>
      </c>
      <c r="I48" s="28" t="str">
        <f t="shared" si="49"/>
        <v>trangthCD_MB0_01_00</v>
      </c>
      <c r="J48" s="25"/>
      <c r="K48" s="25"/>
      <c r="L48" s="25">
        <v>0.3</v>
      </c>
      <c r="M48" s="25">
        <v>0.3</v>
      </c>
      <c r="N48" s="25">
        <v>0.5</v>
      </c>
      <c r="O48" s="25">
        <v>0.5</v>
      </c>
      <c r="P48" s="25"/>
      <c r="Q48" s="25">
        <v>0.5</v>
      </c>
      <c r="R48" s="25">
        <v>1</v>
      </c>
      <c r="S48" s="25">
        <v>1</v>
      </c>
      <c r="T48" s="25">
        <v>1</v>
      </c>
      <c r="U48" s="25">
        <v>1</v>
      </c>
      <c r="V48" s="25">
        <v>1</v>
      </c>
      <c r="W48" s="25">
        <v>1</v>
      </c>
      <c r="X48" s="25">
        <v>1</v>
      </c>
      <c r="Y48" s="25">
        <v>1</v>
      </c>
      <c r="Z48" s="25">
        <v>1</v>
      </c>
      <c r="AA48" s="25">
        <v>1</v>
      </c>
      <c r="AB48" s="25">
        <v>1</v>
      </c>
      <c r="AC48" s="25">
        <v>1</v>
      </c>
      <c r="AD48" s="25">
        <v>1</v>
      </c>
      <c r="AE48" s="25">
        <v>1</v>
      </c>
      <c r="AF48" s="25">
        <v>1</v>
      </c>
      <c r="AG48" s="25">
        <v>1</v>
      </c>
      <c r="AH48" s="25">
        <v>1</v>
      </c>
      <c r="AI48" s="25">
        <v>1</v>
      </c>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row>
    <row r="49" spans="1:61" s="1" customFormat="1">
      <c r="A49" s="13" t="s">
        <v>78</v>
      </c>
      <c r="B49" s="55" t="str">
        <f>IF(A49="","",VLOOKUP(A49,'DS Nhân viên'!B:C,2,FALSE))</f>
        <v>Ngô Thị Nhung</v>
      </c>
      <c r="C49" s="56" t="str">
        <f>IF(A49="","",VLOOKUP(A49,'DS Nhân viên'!B:D,3,FALSE))</f>
        <v>P.Kỹ thuật IBS</v>
      </c>
      <c r="D49" s="56" t="str">
        <f>IF(A49="","",VLOOKUP(A49,'DS Nhân viên'!$B:$F,5,FALSE))</f>
        <v>Chính thức</v>
      </c>
      <c r="E49" s="66" t="s">
        <v>102</v>
      </c>
      <c r="F49" s="12" t="str">
        <f>IF($E49="","",VLOOKUP($E49,'DS Dự án'!$B:$F,2,FALSE))</f>
        <v>MB AUTO QA GD2</v>
      </c>
      <c r="G49" s="10" t="str">
        <f>IF($E49="","",VLOOKUP($E49,'DS Dự án'!$B:$F,4,FALSE))</f>
        <v>NgocDH</v>
      </c>
      <c r="H49" s="10" t="s">
        <v>103</v>
      </c>
      <c r="I49" s="28" t="str">
        <f t="shared" si="49"/>
        <v>nhungnt2CD_MB0_01_00</v>
      </c>
      <c r="J49" s="25"/>
      <c r="K49" s="25"/>
      <c r="L49" s="25"/>
      <c r="M49" s="25"/>
      <c r="N49" s="25">
        <v>0.4</v>
      </c>
      <c r="O49" s="25">
        <v>1</v>
      </c>
      <c r="P49" s="25"/>
      <c r="Q49" s="25">
        <v>1</v>
      </c>
      <c r="R49" s="25">
        <v>1</v>
      </c>
      <c r="S49" s="25">
        <v>1</v>
      </c>
      <c r="T49" s="25">
        <v>1</v>
      </c>
      <c r="U49" s="25">
        <v>1</v>
      </c>
      <c r="V49" s="25">
        <v>1</v>
      </c>
      <c r="W49" s="25">
        <v>1</v>
      </c>
      <c r="X49" s="25">
        <v>1</v>
      </c>
      <c r="Y49" s="25">
        <v>1</v>
      </c>
      <c r="Z49" s="25">
        <v>1</v>
      </c>
      <c r="AA49" s="25">
        <v>1</v>
      </c>
      <c r="AB49" s="25">
        <v>1</v>
      </c>
      <c r="AC49" s="25">
        <v>1</v>
      </c>
      <c r="AD49" s="25">
        <v>1</v>
      </c>
      <c r="AE49" s="25">
        <v>1</v>
      </c>
      <c r="AF49" s="25">
        <v>1</v>
      </c>
      <c r="AG49" s="25">
        <v>1</v>
      </c>
      <c r="AH49" s="25">
        <v>1</v>
      </c>
      <c r="AI49" s="25">
        <v>1</v>
      </c>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row>
    <row r="50" spans="1:61" s="1" customFormat="1">
      <c r="A50" s="13" t="s">
        <v>91</v>
      </c>
      <c r="B50" s="55" t="str">
        <f>IF(A50="","",VLOOKUP(A50,'DS Nhân viên'!B:C,2,FALSE))</f>
        <v>Lê Đình Phúc</v>
      </c>
      <c r="C50" s="56" t="str">
        <f>IF(A50="","",VLOOKUP(A50,'DS Nhân viên'!B:D,3,FALSE))</f>
        <v>P.Kỹ thuật IBS</v>
      </c>
      <c r="D50" s="56" t="str">
        <f>IF(A50="","",VLOOKUP(A50,'DS Nhân viên'!$B:$F,5,FALSE))</f>
        <v>Chính thức</v>
      </c>
      <c r="E50" s="66" t="s">
        <v>102</v>
      </c>
      <c r="F50" s="12" t="str">
        <f>IF($E50="","",VLOOKUP($E50,'DS Dự án'!$B:$F,2,FALSE))</f>
        <v>MB AUTO QA GD2</v>
      </c>
      <c r="G50" s="10" t="str">
        <f>IF($E50="","",VLOOKUP($E50,'DS Dự án'!$B:$F,4,FALSE))</f>
        <v>NgocDH</v>
      </c>
      <c r="H50" s="10" t="s">
        <v>103</v>
      </c>
      <c r="I50" s="28" t="str">
        <f t="shared" si="49"/>
        <v>phucldCD_MB0_01_00</v>
      </c>
      <c r="J50" s="25">
        <v>0.5</v>
      </c>
      <c r="K50" s="25">
        <v>0.5</v>
      </c>
      <c r="L50" s="25">
        <v>0.5</v>
      </c>
      <c r="M50" s="25">
        <v>0.5</v>
      </c>
      <c r="N50" s="25">
        <v>0.5</v>
      </c>
      <c r="O50" s="25">
        <v>0.5</v>
      </c>
      <c r="P50" s="25"/>
      <c r="Q50" s="25">
        <v>0.5</v>
      </c>
      <c r="R50" s="25">
        <v>0.5</v>
      </c>
      <c r="S50" s="25">
        <v>0.5</v>
      </c>
      <c r="T50" s="25">
        <v>0.5</v>
      </c>
      <c r="U50" s="25">
        <v>0.5</v>
      </c>
      <c r="V50" s="25">
        <v>0.5</v>
      </c>
      <c r="W50" s="25">
        <v>0.5</v>
      </c>
      <c r="X50" s="25">
        <v>0.5</v>
      </c>
      <c r="Y50" s="25">
        <v>0.5</v>
      </c>
      <c r="Z50" s="25">
        <v>0.5</v>
      </c>
      <c r="AA50" s="25">
        <v>0.5</v>
      </c>
      <c r="AB50" s="25">
        <v>0.5</v>
      </c>
      <c r="AC50" s="25">
        <v>0.5</v>
      </c>
      <c r="AD50" s="25">
        <v>0.5</v>
      </c>
      <c r="AE50" s="25">
        <v>0.5</v>
      </c>
      <c r="AF50" s="25">
        <v>0.5</v>
      </c>
      <c r="AG50" s="25">
        <v>0.5</v>
      </c>
      <c r="AH50" s="25">
        <v>0.5</v>
      </c>
      <c r="AI50" s="25">
        <v>0.5</v>
      </c>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row>
    <row r="51" spans="1:61" s="1" customFormat="1">
      <c r="A51" s="13" t="s">
        <v>71</v>
      </c>
      <c r="B51" s="55" t="str">
        <f>IF(A51="","",VLOOKUP(A51,'DS Nhân viên'!B:C,2,FALSE))</f>
        <v>Lê Chí Công</v>
      </c>
      <c r="C51" s="56" t="str">
        <f>IF(A51="","",VLOOKUP(A51,'DS Nhân viên'!B:D,3,FALSE))</f>
        <v>P.Kỹ thuật IBS</v>
      </c>
      <c r="D51" s="56" t="str">
        <f>IF(A51="","",VLOOKUP(A51,'DS Nhân viên'!$B:$F,5,FALSE))</f>
        <v>Chính thức</v>
      </c>
      <c r="E51" s="66" t="s">
        <v>102</v>
      </c>
      <c r="F51" s="12" t="str">
        <f>IF($E51="","",VLOOKUP($E51,'DS Dự án'!$B:$F,2,FALSE))</f>
        <v>MB AUTO QA GD2</v>
      </c>
      <c r="G51" s="10" t="str">
        <f>IF($E51="","",VLOOKUP($E51,'DS Dự án'!$B:$F,4,FALSE))</f>
        <v>NgocDH</v>
      </c>
      <c r="H51" s="10" t="s">
        <v>103</v>
      </c>
      <c r="I51" s="28" t="str">
        <f t="shared" si="49"/>
        <v>conglcCD_MB0_01_00</v>
      </c>
      <c r="J51" s="25">
        <v>0.2</v>
      </c>
      <c r="K51" s="25">
        <v>0.2</v>
      </c>
      <c r="L51" s="25">
        <v>0.3</v>
      </c>
      <c r="M51" s="25">
        <v>0.3</v>
      </c>
      <c r="N51" s="25">
        <v>0.3</v>
      </c>
      <c r="O51" s="25">
        <v>0.3</v>
      </c>
      <c r="P51" s="25"/>
      <c r="Q51" s="25">
        <v>0.5</v>
      </c>
      <c r="R51" s="25">
        <v>0.5</v>
      </c>
      <c r="S51" s="25">
        <v>0.5</v>
      </c>
      <c r="T51" s="25">
        <v>0.5</v>
      </c>
      <c r="U51" s="25">
        <v>0.5</v>
      </c>
      <c r="V51" s="25">
        <v>0.5</v>
      </c>
      <c r="W51" s="25">
        <v>0.5</v>
      </c>
      <c r="X51" s="25">
        <v>0.5</v>
      </c>
      <c r="Y51" s="25">
        <v>0.5</v>
      </c>
      <c r="Z51" s="25">
        <v>0.5</v>
      </c>
      <c r="AA51" s="25">
        <v>0.5</v>
      </c>
      <c r="AB51" s="25">
        <v>0.5</v>
      </c>
      <c r="AC51" s="25">
        <v>0.5</v>
      </c>
      <c r="AD51" s="25">
        <v>0.5</v>
      </c>
      <c r="AE51" s="25">
        <v>0.5</v>
      </c>
      <c r="AF51" s="25">
        <v>0.5</v>
      </c>
      <c r="AG51" s="25">
        <v>0.5</v>
      </c>
      <c r="AH51" s="25">
        <v>0.5</v>
      </c>
      <c r="AI51" s="25">
        <v>0.5</v>
      </c>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row>
    <row r="52" spans="1:61" s="1" customFormat="1">
      <c r="A52" s="13" t="s">
        <v>84</v>
      </c>
      <c r="B52" s="10" t="str">
        <f>IF(A52="","",VLOOKUP(A52,'DS Nhân viên'!B:C,2,FALSE))</f>
        <v>Hà Mạnh Tân</v>
      </c>
      <c r="C52" s="11" t="str">
        <f>IF(A52="","",VLOOKUP(A52,'DS Nhân viên'!B:D,3,FALSE))</f>
        <v>P.Nghiệp vụ IBS</v>
      </c>
      <c r="D52" s="11" t="str">
        <f>IF(A52="","",VLOOKUP(A52,'DS Nhân viên'!$B:$F,5,FALSE))</f>
        <v>Chính thức</v>
      </c>
      <c r="E52" s="66" t="s">
        <v>102</v>
      </c>
      <c r="F52" s="12" t="str">
        <f>IF($E52="","",VLOOKUP($E52,'DS Dự án'!$B:$F,2,FALSE))</f>
        <v>MB AUTO QA GD2</v>
      </c>
      <c r="G52" s="10" t="str">
        <f>IF($E52="","",VLOOKUP($E52,'DS Dự án'!$B:$F,4,FALSE))</f>
        <v>NgocDH</v>
      </c>
      <c r="H52" s="10" t="str">
        <f>IF($E52="","",VLOOKUP(E52,'DS Dự án'!$B:$F,5,0))</f>
        <v>Đang thực hiện (Chưa có hợp đồng)</v>
      </c>
      <c r="I52" s="28" t="str">
        <f t="shared" si="49"/>
        <v>tanhmCD_MB0_01_00</v>
      </c>
      <c r="J52" s="25"/>
      <c r="K52" s="25"/>
      <c r="L52" s="25"/>
      <c r="M52" s="25"/>
      <c r="N52" s="25">
        <v>0.5</v>
      </c>
      <c r="O52" s="25">
        <v>0.5</v>
      </c>
      <c r="P52" s="25"/>
      <c r="Q52" s="25">
        <v>0.5</v>
      </c>
      <c r="R52" s="25">
        <v>0.5</v>
      </c>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row>
    <row r="53" spans="1:61" s="1" customFormat="1">
      <c r="A53" s="13" t="s">
        <v>86</v>
      </c>
      <c r="B53" s="10" t="str">
        <f>IF(A53="","",VLOOKUP(A53,'DS Nhân viên'!B:C,2,FALSE))</f>
        <v>Nguyễn Lưu Phất</v>
      </c>
      <c r="C53" s="11" t="str">
        <f>IF(A53="","",VLOOKUP(A53,'DS Nhân viên'!B:D,3,FALSE))</f>
        <v>P.Nghiệp vụ IBS</v>
      </c>
      <c r="D53" s="11" t="str">
        <f>IF(A53="","",VLOOKUP(A53,'DS Nhân viên'!$B:$F,5,FALSE))</f>
        <v>Chính thức</v>
      </c>
      <c r="E53" s="67" t="s">
        <v>104</v>
      </c>
      <c r="F53" s="12" t="str">
        <f>IF($E53="","",VLOOKUP($E53,'DS Dự án'!$B:$F,2,FALSE))</f>
        <v>MDM &amp; DWH-BI THACO</v>
      </c>
      <c r="G53" s="10" t="str">
        <f>IF($E53="","",VLOOKUP($E53,'DS Dự án'!$B:$F,4,FALSE))</f>
        <v>HaiDL</v>
      </c>
      <c r="H53" s="10" t="str">
        <f>IF($E53="","",VLOOKUP(E53,'DS Dự án'!$B:$F,5,0))</f>
        <v>Cơ hội</v>
      </c>
      <c r="I53" s="28" t="str">
        <f t="shared" si="49"/>
        <v>phatnlBD_TC0_01_00</v>
      </c>
      <c r="J53" s="25">
        <v>0.3</v>
      </c>
      <c r="K53" s="25">
        <v>0.3</v>
      </c>
      <c r="L53" s="25">
        <v>0.1</v>
      </c>
      <c r="M53" s="25">
        <v>0</v>
      </c>
      <c r="N53" s="25">
        <v>0</v>
      </c>
      <c r="O53" s="25">
        <v>0</v>
      </c>
      <c r="P53" s="25"/>
      <c r="Q53" s="25">
        <v>0</v>
      </c>
      <c r="R53" s="25">
        <v>0</v>
      </c>
      <c r="S53" s="25">
        <v>0</v>
      </c>
      <c r="T53" s="25">
        <v>0</v>
      </c>
      <c r="U53" s="25">
        <v>0</v>
      </c>
      <c r="V53" s="25">
        <v>0</v>
      </c>
      <c r="W53" s="25">
        <v>0</v>
      </c>
      <c r="X53" s="25">
        <v>0</v>
      </c>
      <c r="Y53" s="25">
        <v>0</v>
      </c>
      <c r="Z53" s="25">
        <v>0</v>
      </c>
      <c r="AA53" s="25">
        <v>0</v>
      </c>
      <c r="AB53" s="25">
        <v>0</v>
      </c>
      <c r="AC53" s="25">
        <v>0</v>
      </c>
      <c r="AD53" s="25">
        <v>0</v>
      </c>
      <c r="AE53" s="25">
        <v>0</v>
      </c>
      <c r="AF53" s="25">
        <v>0</v>
      </c>
      <c r="AG53" s="25">
        <v>0</v>
      </c>
      <c r="AH53" s="25">
        <v>0</v>
      </c>
      <c r="AI53" s="25">
        <v>0</v>
      </c>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row>
    <row r="54" spans="1:61" s="1" customFormat="1">
      <c r="A54" s="14" t="s">
        <v>97</v>
      </c>
      <c r="B54" s="10" t="str">
        <f>IF(A54="","",VLOOKUP(A54,'DS Nhân viên'!B:C,2,FALSE))</f>
        <v>Nghiêm Thanh Tùng</v>
      </c>
      <c r="C54" s="11" t="s">
        <v>54</v>
      </c>
      <c r="D54" s="11" t="str">
        <f>IF(A54="","",VLOOKUP(A54,'DS Nhân viên'!$B:$F,5,FALSE))</f>
        <v>Chính thức</v>
      </c>
      <c r="E54" s="62" t="s">
        <v>105</v>
      </c>
      <c r="F54" s="12" t="str">
        <f>IF($E54="","",VLOOKUP($E54,'DS Dự án'!$B:$F,2,FALSE))</f>
        <v>PM CAN ORISTAR</v>
      </c>
      <c r="G54" s="10" t="str">
        <f>IF($E54="","",VLOOKUP($E54,'DS Dự án'!$B:$F,4,FALSE))</f>
        <v>LamBH</v>
      </c>
      <c r="H54" s="10" t="str">
        <f>IF($E54="","",VLOOKUP(E54,'DS Dự án'!$B:$F,5,0))</f>
        <v>Đang thực hiện (Đã có hợp đồng)</v>
      </c>
      <c r="I54" s="28" t="str">
        <f t="shared" si="49"/>
        <v>tungnt2RD_OR0_01_00</v>
      </c>
      <c r="J54" s="25"/>
      <c r="K54" s="25"/>
      <c r="L54" s="25">
        <v>0.7</v>
      </c>
      <c r="M54" s="25">
        <v>0.7</v>
      </c>
      <c r="N54" s="25">
        <v>0.7</v>
      </c>
      <c r="O54" s="25">
        <v>0.2</v>
      </c>
      <c r="P54" s="25"/>
      <c r="Q54" s="25">
        <v>0.2</v>
      </c>
      <c r="R54" s="25">
        <v>0.2</v>
      </c>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row>
    <row r="55" spans="1:61" s="1" customFormat="1">
      <c r="A55" s="14" t="s">
        <v>101</v>
      </c>
      <c r="B55" s="10" t="str">
        <f>IF(A55="","",VLOOKUP(A55,'DS Nhân viên'!B:C,2,FALSE))</f>
        <v>Bùi Hữu Lâm</v>
      </c>
      <c r="C55" s="11" t="s">
        <v>54</v>
      </c>
      <c r="D55" s="11" t="str">
        <f>IF(A55="","",VLOOKUP(A55,'DS Nhân viên'!$B:$F,5,FALSE))</f>
        <v>Chính thức</v>
      </c>
      <c r="E55" s="62" t="s">
        <v>105</v>
      </c>
      <c r="F55" s="12" t="str">
        <f>IF($E55="","",VLOOKUP($E55,'DS Dự án'!$B:$F,2,FALSE))</f>
        <v>PM CAN ORISTAR</v>
      </c>
      <c r="G55" s="10" t="str">
        <f>IF($E55="","",VLOOKUP($E55,'DS Dự án'!$B:$F,4,FALSE))</f>
        <v>LamBH</v>
      </c>
      <c r="H55" s="10" t="str">
        <f>IF($E55="","",VLOOKUP(E55,'DS Dự án'!$B:$F,5,0))</f>
        <v>Đang thực hiện (Đã có hợp đồng)</v>
      </c>
      <c r="I55" s="28" t="str">
        <f t="shared" si="49"/>
        <v>lambhRD_OR0_01_00</v>
      </c>
      <c r="J55" s="25"/>
      <c r="K55" s="25"/>
      <c r="L55" s="25">
        <v>0.3</v>
      </c>
      <c r="M55" s="25">
        <v>0.2</v>
      </c>
      <c r="N55" s="25">
        <v>0.2</v>
      </c>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row>
    <row r="56" spans="1:61" s="1" customFormat="1">
      <c r="A56" s="13" t="s">
        <v>86</v>
      </c>
      <c r="B56" s="10" t="str">
        <f>IF(A56="","",VLOOKUP(A56,'DS Nhân viên'!B:C,2,FALSE))</f>
        <v>Nguyễn Lưu Phất</v>
      </c>
      <c r="C56" s="11" t="str">
        <f>IF(A56="","",VLOOKUP(A56,'DS Nhân viên'!B:D,3,FALSE))</f>
        <v>P.Nghiệp vụ IBS</v>
      </c>
      <c r="D56" s="11" t="str">
        <f>IF(A56="","",VLOOKUP(A56,'DS Nhân viên'!$B:$F,5,FALSE))</f>
        <v>Chính thức</v>
      </c>
      <c r="E56" s="62" t="s">
        <v>106</v>
      </c>
      <c r="F56" s="12" t="str">
        <f>IF($E56="","",VLOOKUP($E56,'DS Dự án'!$B:$F,2,FALSE))</f>
        <v>Presale</v>
      </c>
      <c r="G56" s="10" t="str">
        <f>IF($E56="","",VLOOKUP($E56,'DS Dự án'!$B:$F,4,FALSE))</f>
        <v>HaiDL</v>
      </c>
      <c r="H56" s="10" t="str">
        <f>IF($E56="","",VLOOKUP(E56,'DS Dự án'!$B:$F,5,0))</f>
        <v>Đang thực hiện (Nội bộ)</v>
      </c>
      <c r="I56" s="28" t="str">
        <f t="shared" si="49"/>
        <v>phatnlPresale</v>
      </c>
      <c r="J56" s="25">
        <v>0</v>
      </c>
      <c r="K56" s="25">
        <v>0</v>
      </c>
      <c r="L56" s="25">
        <v>0.2</v>
      </c>
      <c r="M56" s="25">
        <v>0.2</v>
      </c>
      <c r="N56" s="25">
        <v>0.2</v>
      </c>
      <c r="O56" s="25">
        <v>0.2</v>
      </c>
      <c r="P56" s="25"/>
      <c r="Q56" s="25">
        <v>0.1</v>
      </c>
      <c r="R56" s="25">
        <v>0.3</v>
      </c>
      <c r="S56" s="25">
        <v>0.3</v>
      </c>
      <c r="T56" s="25">
        <v>0.3</v>
      </c>
      <c r="U56" s="25">
        <v>0.1</v>
      </c>
      <c r="V56" s="25">
        <v>0.1</v>
      </c>
      <c r="W56" s="25">
        <v>0.1</v>
      </c>
      <c r="X56" s="25">
        <v>0.1</v>
      </c>
      <c r="Y56" s="25">
        <v>0.1</v>
      </c>
      <c r="Z56" s="25">
        <v>0.1</v>
      </c>
      <c r="AA56" s="25">
        <v>0.1</v>
      </c>
      <c r="AB56" s="25">
        <v>0.1</v>
      </c>
      <c r="AC56" s="25">
        <v>0.1</v>
      </c>
      <c r="AD56" s="25">
        <v>0.1</v>
      </c>
      <c r="AE56" s="25">
        <v>0.1</v>
      </c>
      <c r="AF56" s="25">
        <v>0.1</v>
      </c>
      <c r="AG56" s="25">
        <v>0.1</v>
      </c>
      <c r="AH56" s="25">
        <v>0.1</v>
      </c>
      <c r="AI56" s="25">
        <v>0.1</v>
      </c>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row>
    <row r="57" spans="1:61" s="1" customFormat="1">
      <c r="A57" s="14" t="s">
        <v>107</v>
      </c>
      <c r="B57" s="10" t="str">
        <f>IF(A57="","",VLOOKUP(A57,'DS Nhân viên'!B:C,2,FALSE))</f>
        <v>Phí Quang Vinh</v>
      </c>
      <c r="C57" s="11" t="s">
        <v>54</v>
      </c>
      <c r="D57" s="11" t="str">
        <f>IF(A57="","",VLOOKUP(A57,'DS Nhân viên'!$B:$F,5,FALSE))</f>
        <v>Thử việc</v>
      </c>
      <c r="E57" s="62" t="s">
        <v>108</v>
      </c>
      <c r="F57" s="12" t="str">
        <f>IF($E57="","",VLOOKUP($E57,'DS Dự án'!$B:$F,2,FALSE))</f>
        <v>R&amp;D QLNL THADICO</v>
      </c>
      <c r="G57" s="10" t="str">
        <f>IF($E57="","",VLOOKUP($E57,'DS Dự án'!$B:$F,4,FALSE))</f>
        <v>LamBH</v>
      </c>
      <c r="H57" s="10" t="str">
        <f>IF($E57="","",VLOOKUP(E57,'DS Dự án'!$B:$F,5,0))</f>
        <v>Đang thực hiện (Đã có hợp đồng)</v>
      </c>
      <c r="I57" s="28" t="str">
        <f t="shared" si="49"/>
        <v>vinhpqRD_TH0_01_00</v>
      </c>
      <c r="J57" s="25"/>
      <c r="K57" s="25"/>
      <c r="L57" s="25">
        <v>0.1</v>
      </c>
      <c r="M57" s="25">
        <v>0.1</v>
      </c>
      <c r="N57" s="25">
        <v>0.1</v>
      </c>
      <c r="O57" s="25"/>
      <c r="P57" s="25"/>
      <c r="Q57" s="25"/>
      <c r="R57" s="25">
        <v>0.02</v>
      </c>
      <c r="S57" s="25">
        <v>0.02</v>
      </c>
      <c r="T57" s="25">
        <v>0.02</v>
      </c>
      <c r="U57" s="25">
        <v>0.02</v>
      </c>
      <c r="V57" s="25">
        <v>0.02</v>
      </c>
      <c r="W57" s="25">
        <v>0.02</v>
      </c>
      <c r="X57" s="25">
        <v>0.02</v>
      </c>
      <c r="Y57" s="25">
        <v>0.02</v>
      </c>
      <c r="Z57" s="25">
        <v>0.02</v>
      </c>
      <c r="AA57" s="25">
        <v>0.02</v>
      </c>
      <c r="AB57" s="25">
        <v>0.02</v>
      </c>
      <c r="AC57" s="25">
        <v>0.02</v>
      </c>
      <c r="AD57" s="25">
        <v>0.02</v>
      </c>
      <c r="AE57" s="25">
        <v>0.02</v>
      </c>
      <c r="AF57" s="25">
        <v>0.02</v>
      </c>
      <c r="AG57" s="25">
        <v>0.02</v>
      </c>
      <c r="AH57" s="25">
        <v>0.02</v>
      </c>
      <c r="AI57" s="25">
        <v>0.02</v>
      </c>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row>
    <row r="58" spans="1:61" s="1" customFormat="1">
      <c r="A58" s="14" t="s">
        <v>109</v>
      </c>
      <c r="B58" s="10" t="str">
        <f>IF(A58="","",VLOOKUP(A58,'DS Nhân viên'!B:C,2,FALSE))</f>
        <v>Vương Duy Long</v>
      </c>
      <c r="C58" s="11" t="s">
        <v>54</v>
      </c>
      <c r="D58" s="11" t="str">
        <f>IF(A58="","",VLOOKUP(A58,'DS Nhân viên'!$B:$F,5,FALSE))</f>
        <v>Thử việc</v>
      </c>
      <c r="E58" s="62" t="s">
        <v>108</v>
      </c>
      <c r="F58" s="12" t="str">
        <f>IF($E58="","",VLOOKUP($E58,'DS Dự án'!$B:$F,2,FALSE))</f>
        <v>R&amp;D QLNL THADICO</v>
      </c>
      <c r="G58" s="10" t="str">
        <f>IF($E58="","",VLOOKUP($E58,'DS Dự án'!$B:$F,4,FALSE))</f>
        <v>LamBH</v>
      </c>
      <c r="H58" s="10" t="str">
        <f>IF($E58="","",VLOOKUP(E58,'DS Dự án'!$B:$F,5,0))</f>
        <v>Đang thực hiện (Đã có hợp đồng)</v>
      </c>
      <c r="I58" s="28" t="str">
        <f t="shared" si="49"/>
        <v>longvdRD_TH0_01_00</v>
      </c>
      <c r="J58" s="25"/>
      <c r="K58" s="25"/>
      <c r="L58" s="25">
        <v>0.5</v>
      </c>
      <c r="M58" s="25">
        <v>0.1</v>
      </c>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row>
    <row r="59" spans="1:61" s="1" customFormat="1">
      <c r="A59" s="14" t="s">
        <v>107</v>
      </c>
      <c r="B59" s="10" t="str">
        <f>IF(A59="","",VLOOKUP(A59,'DS Nhân viên'!B:C,2,FALSE))</f>
        <v>Phí Quang Vinh</v>
      </c>
      <c r="C59" s="11" t="s">
        <v>54</v>
      </c>
      <c r="D59" s="11" t="str">
        <f>IF(A59="","",VLOOKUP(A59,'DS Nhân viên'!$B:$F,5,FALSE))</f>
        <v>Thử việc</v>
      </c>
      <c r="E59" s="62" t="s">
        <v>110</v>
      </c>
      <c r="F59" s="12" t="str">
        <f>IF($E59="","",VLOOKUP($E59,'DS Dự án'!$B:$F,2,FALSE))</f>
        <v>TK BI DWH BW SAO HOA</v>
      </c>
      <c r="G59" s="10" t="str">
        <f>IF($E59="","",VLOOKUP($E59,'DS Dự án'!$B:$F,4,FALSE))</f>
        <v>AnhHT</v>
      </c>
      <c r="H59" s="10" t="str">
        <f>IF($E59="","",VLOOKUP(E59,'DS Dự án'!$B:$F,5,0))</f>
        <v>Đang thực hiện (Đã có hợp đồng)</v>
      </c>
      <c r="I59" s="28" t="str">
        <f t="shared" si="49"/>
        <v>vinhpqBD_BW0_01_00</v>
      </c>
      <c r="J59" s="25"/>
      <c r="K59" s="25"/>
      <c r="L59" s="25"/>
      <c r="M59" s="25"/>
      <c r="N59" s="25"/>
      <c r="O59" s="25"/>
      <c r="P59" s="25"/>
      <c r="Q59" s="25">
        <v>0.7</v>
      </c>
      <c r="R59" s="25">
        <v>0.66</v>
      </c>
      <c r="S59" s="25">
        <v>0.9</v>
      </c>
      <c r="T59" s="25">
        <v>0.9</v>
      </c>
      <c r="U59" s="25">
        <v>0.9</v>
      </c>
      <c r="V59" s="25">
        <v>0.9</v>
      </c>
      <c r="W59" s="25">
        <v>0.5</v>
      </c>
      <c r="X59" s="25">
        <v>0.5</v>
      </c>
      <c r="Y59" s="25">
        <v>0.5</v>
      </c>
      <c r="Z59" s="25">
        <v>0.5</v>
      </c>
      <c r="AA59" s="25">
        <v>0.1</v>
      </c>
      <c r="AB59" s="25">
        <v>0.1</v>
      </c>
      <c r="AC59" s="25">
        <v>0.1</v>
      </c>
      <c r="AD59" s="25">
        <v>0.1</v>
      </c>
      <c r="AE59" s="25">
        <v>0.1</v>
      </c>
      <c r="AF59" s="25">
        <v>0.1</v>
      </c>
      <c r="AG59" s="25">
        <v>0.1</v>
      </c>
      <c r="AH59" s="25">
        <v>0.1</v>
      </c>
      <c r="AI59" s="25">
        <v>0.1</v>
      </c>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row>
    <row r="60" spans="1:61" s="1" customFormat="1">
      <c r="A60" s="13" t="s">
        <v>86</v>
      </c>
      <c r="B60" s="10" t="str">
        <f>IF(A60="","",VLOOKUP(A60,'DS Nhân viên'!B:C,2,FALSE))</f>
        <v>Nguyễn Lưu Phất</v>
      </c>
      <c r="C60" s="11" t="str">
        <f>IF(A60="","",VLOOKUP(A60,'DS Nhân viên'!B:D,3,FALSE))</f>
        <v>P.Nghiệp vụ IBS</v>
      </c>
      <c r="D60" s="11" t="str">
        <f>IF(A60="","",VLOOKUP(A60,'DS Nhân viên'!$B:$F,5,FALSE))</f>
        <v>Chính thức</v>
      </c>
      <c r="E60" s="62" t="s">
        <v>110</v>
      </c>
      <c r="F60" s="12" t="str">
        <f>IF($E60="","",VLOOKUP($E60,'DS Dự án'!$B:$F,2,FALSE))</f>
        <v>TK BI DWH BW SAO HOA</v>
      </c>
      <c r="G60" s="10" t="str">
        <f>IF($E60="","",VLOOKUP($E60,'DS Dự án'!$B:$F,4,FALSE))</f>
        <v>AnhHT</v>
      </c>
      <c r="H60" s="10" t="str">
        <f>IF($E60="","",VLOOKUP(E60,'DS Dự án'!$B:$F,5,0))</f>
        <v>Đang thực hiện (Đã có hợp đồng)</v>
      </c>
      <c r="I60" s="28" t="str">
        <f t="shared" si="49"/>
        <v>phatnlBD_BW0_01_00</v>
      </c>
      <c r="J60" s="25">
        <v>0.5</v>
      </c>
      <c r="K60" s="25">
        <v>0.5</v>
      </c>
      <c r="L60" s="25">
        <v>0.5</v>
      </c>
      <c r="M60" s="25">
        <v>0.5</v>
      </c>
      <c r="N60" s="25">
        <v>0.6</v>
      </c>
      <c r="O60" s="25">
        <v>0.3</v>
      </c>
      <c r="P60" s="25"/>
      <c r="Q60" s="25">
        <v>0.3</v>
      </c>
      <c r="R60" s="25">
        <v>0.4</v>
      </c>
      <c r="S60" s="25">
        <v>0.3</v>
      </c>
      <c r="T60" s="25">
        <v>0.4</v>
      </c>
      <c r="U60" s="25">
        <v>0.4</v>
      </c>
      <c r="V60" s="25">
        <v>0.3</v>
      </c>
      <c r="W60" s="25">
        <v>0.3</v>
      </c>
      <c r="X60" s="25">
        <v>0.3</v>
      </c>
      <c r="Y60" s="25">
        <v>0.3</v>
      </c>
      <c r="Z60" s="25">
        <v>0.3</v>
      </c>
      <c r="AA60" s="25">
        <v>0.3</v>
      </c>
      <c r="AB60" s="25">
        <v>0.3</v>
      </c>
      <c r="AC60" s="25">
        <v>0.3</v>
      </c>
      <c r="AD60" s="25">
        <v>0.3</v>
      </c>
      <c r="AE60" s="25">
        <v>0.3</v>
      </c>
      <c r="AF60" s="25">
        <v>0.3</v>
      </c>
      <c r="AG60" s="25">
        <v>0.3</v>
      </c>
      <c r="AH60" s="25">
        <v>0.3</v>
      </c>
      <c r="AI60" s="25">
        <v>0.3</v>
      </c>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row>
    <row r="61" spans="1:61" s="1" customFormat="1">
      <c r="A61" s="14" t="s">
        <v>100</v>
      </c>
      <c r="B61" s="10" t="str">
        <f>IF(A61="","",VLOOKUP(A61,'DS Nhân viên'!B:C,2,FALSE))</f>
        <v>Nguyễn Khắc Mạnh</v>
      </c>
      <c r="C61" s="11" t="s">
        <v>54</v>
      </c>
      <c r="D61" s="11" t="str">
        <f>IF(A61="","",VLOOKUP(A61,'DS Nhân viên'!$B:$F,5,FALSE))</f>
        <v>Chính thức</v>
      </c>
      <c r="E61" s="62" t="s">
        <v>110</v>
      </c>
      <c r="F61" s="12" t="str">
        <f>IF($E61="","",VLOOKUP($E61,'DS Dự án'!$B:$F,2,FALSE))</f>
        <v>TK BI DWH BW SAO HOA</v>
      </c>
      <c r="G61" s="10" t="str">
        <f>IF($E61="","",VLOOKUP($E61,'DS Dự án'!$B:$F,4,FALSE))</f>
        <v>AnhHT</v>
      </c>
      <c r="H61" s="10" t="str">
        <f>IF($E61="","",VLOOKUP(E61,'DS Dự án'!$B:$F,5,0))</f>
        <v>Đang thực hiện (Đã có hợp đồng)</v>
      </c>
      <c r="I61" s="28" t="str">
        <f t="shared" ref="I61:I92" si="50">A61&amp;E61</f>
        <v>manhnkBD_BW0_01_00</v>
      </c>
      <c r="J61" s="25"/>
      <c r="K61" s="25"/>
      <c r="L61" s="25">
        <v>0.5</v>
      </c>
      <c r="M61" s="25">
        <v>0.7</v>
      </c>
      <c r="N61" s="25">
        <v>0.7</v>
      </c>
      <c r="O61" s="25">
        <v>0.7</v>
      </c>
      <c r="P61" s="25"/>
      <c r="Q61" s="25">
        <v>0.7</v>
      </c>
      <c r="R61" s="25">
        <v>0.9</v>
      </c>
      <c r="S61" s="25">
        <v>0.9</v>
      </c>
      <c r="T61" s="25">
        <v>0.9</v>
      </c>
      <c r="U61" s="25">
        <v>0.9</v>
      </c>
      <c r="V61" s="25">
        <v>0.9</v>
      </c>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row>
    <row r="62" spans="1:61" s="1" customFormat="1">
      <c r="A62" s="14" t="s">
        <v>109</v>
      </c>
      <c r="B62" s="10" t="str">
        <f>IF(A62="","",VLOOKUP(A62,'DS Nhân viên'!B:C,2,FALSE))</f>
        <v>Vương Duy Long</v>
      </c>
      <c r="C62" s="11" t="s">
        <v>54</v>
      </c>
      <c r="D62" s="11" t="str">
        <f>IF(A62="","",VLOOKUP(A62,'DS Nhân viên'!$B:$F,5,FALSE))</f>
        <v>Thử việc</v>
      </c>
      <c r="E62" s="62" t="s">
        <v>110</v>
      </c>
      <c r="F62" s="12" t="str">
        <f>IF($E62="","",VLOOKUP($E62,'DS Dự án'!$B:$F,2,FALSE))</f>
        <v>TK BI DWH BW SAO HOA</v>
      </c>
      <c r="G62" s="10" t="str">
        <f>IF($E62="","",VLOOKUP($E62,'DS Dự án'!$B:$F,4,FALSE))</f>
        <v>AnhHT</v>
      </c>
      <c r="H62" s="10" t="str">
        <f>IF($E62="","",VLOOKUP(E62,'DS Dự án'!$B:$F,5,0))</f>
        <v>Đang thực hiện (Đã có hợp đồng)</v>
      </c>
      <c r="I62" s="28" t="str">
        <f t="shared" si="50"/>
        <v>longvdBD_BW0_01_00</v>
      </c>
      <c r="J62" s="25"/>
      <c r="K62" s="25"/>
      <c r="L62" s="25">
        <v>0.3</v>
      </c>
      <c r="M62" s="25">
        <v>0.7</v>
      </c>
      <c r="N62" s="25">
        <v>0.7</v>
      </c>
      <c r="O62" s="25">
        <v>0.7</v>
      </c>
      <c r="P62" s="25"/>
      <c r="Q62" s="25">
        <v>0.7</v>
      </c>
      <c r="R62" s="25">
        <v>0.9</v>
      </c>
      <c r="S62" s="25">
        <v>0.9</v>
      </c>
      <c r="T62" s="25">
        <v>0.9</v>
      </c>
      <c r="U62" s="25">
        <v>0.9</v>
      </c>
      <c r="V62" s="25">
        <v>0.9</v>
      </c>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row>
    <row r="63" spans="1:61" s="1" customFormat="1">
      <c r="A63" s="14" t="s">
        <v>101</v>
      </c>
      <c r="B63" s="10" t="str">
        <f>IF(A63="","",VLOOKUP(A63,'DS Nhân viên'!B:C,2,FALSE))</f>
        <v>Bùi Hữu Lâm</v>
      </c>
      <c r="C63" s="11" t="s">
        <v>54</v>
      </c>
      <c r="D63" s="11" t="str">
        <f>IF(A63="","",VLOOKUP(A63,'DS Nhân viên'!$B:$F,5,FALSE))</f>
        <v>Chính thức</v>
      </c>
      <c r="E63" s="62" t="s">
        <v>110</v>
      </c>
      <c r="F63" s="12" t="str">
        <f>IF($E63="","",VLOOKUP($E63,'DS Dự án'!$B:$F,2,FALSE))</f>
        <v>TK BI DWH BW SAO HOA</v>
      </c>
      <c r="G63" s="10" t="str">
        <f>IF($E63="","",VLOOKUP($E63,'DS Dự án'!$B:$F,4,FALSE))</f>
        <v>AnhHT</v>
      </c>
      <c r="H63" s="10" t="str">
        <f>IF($E63="","",VLOOKUP(E63,'DS Dự án'!$B:$F,5,0))</f>
        <v>Đang thực hiện (Đã có hợp đồng)</v>
      </c>
      <c r="I63" s="28" t="str">
        <f t="shared" si="50"/>
        <v>lambhBD_BW0_01_00</v>
      </c>
      <c r="J63" s="25"/>
      <c r="K63" s="25"/>
      <c r="L63" s="25">
        <v>0.2</v>
      </c>
      <c r="M63" s="25">
        <v>0.5</v>
      </c>
      <c r="N63" s="25">
        <v>0.3</v>
      </c>
      <c r="O63" s="25">
        <v>0.2</v>
      </c>
      <c r="P63" s="25"/>
      <c r="Q63" s="25">
        <v>0.2</v>
      </c>
      <c r="R63" s="25">
        <v>0.2</v>
      </c>
      <c r="S63" s="25">
        <v>0.2</v>
      </c>
      <c r="T63" s="25">
        <v>0.2</v>
      </c>
      <c r="U63" s="25">
        <v>0.2</v>
      </c>
      <c r="V63" s="25">
        <v>0.2</v>
      </c>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row>
    <row r="64" spans="1:61" s="1" customFormat="1">
      <c r="A64" s="13" t="s">
        <v>87</v>
      </c>
      <c r="B64" s="10" t="str">
        <f>IF(A64="","",VLOOKUP(A64,'DS Nhân viên'!B:C,2,FALSE))</f>
        <v>Trần Thị Thanh Huyền</v>
      </c>
      <c r="C64" s="11" t="str">
        <f>IF(A64="","",VLOOKUP(A64,'DS Nhân viên'!B:D,3,FALSE))</f>
        <v>P.Nghiệp vụ IBS</v>
      </c>
      <c r="D64" s="11" t="str">
        <f>IF(A64="","",VLOOKUP(A64,'DS Nhân viên'!$B:$F,5,FALSE))</f>
        <v>Chính thức</v>
      </c>
      <c r="E64" s="62" t="s">
        <v>110</v>
      </c>
      <c r="F64" s="12" t="str">
        <f>IF($E64="","",VLOOKUP($E64,'DS Dự án'!$B:$F,2,FALSE))</f>
        <v>TK BI DWH BW SAO HOA</v>
      </c>
      <c r="G64" s="10" t="str">
        <f>IF($E64="","",VLOOKUP($E64,'DS Dự án'!$B:$F,4,FALSE))</f>
        <v>AnhHT</v>
      </c>
      <c r="H64" s="10" t="str">
        <f>IF($E64="","",VLOOKUP(E64,'DS Dự án'!$B:$F,5,0))</f>
        <v>Đang thực hiện (Đã có hợp đồng)</v>
      </c>
      <c r="I64" s="28" t="str">
        <f t="shared" si="50"/>
        <v>huyentttBD_BW0_01_00</v>
      </c>
      <c r="J64" s="25">
        <v>0.35</v>
      </c>
      <c r="K64" s="25">
        <v>0.35</v>
      </c>
      <c r="L64" s="25">
        <v>0.4</v>
      </c>
      <c r="M64" s="25">
        <v>0.4</v>
      </c>
      <c r="N64" s="25">
        <v>0.4</v>
      </c>
      <c r="O64" s="25">
        <v>0.4</v>
      </c>
      <c r="P64" s="25"/>
      <c r="Q64" s="25">
        <v>0.4</v>
      </c>
      <c r="R64" s="25">
        <v>0.35</v>
      </c>
      <c r="S64" s="25">
        <v>0.35</v>
      </c>
      <c r="T64" s="25">
        <v>0.35</v>
      </c>
      <c r="U64" s="25">
        <v>0.35</v>
      </c>
      <c r="V64" s="25">
        <v>0.35</v>
      </c>
      <c r="W64" s="25">
        <v>0.35</v>
      </c>
      <c r="X64" s="25">
        <v>0.35</v>
      </c>
      <c r="Y64" s="25">
        <v>0.35</v>
      </c>
      <c r="Z64" s="25">
        <v>0.35</v>
      </c>
      <c r="AA64" s="25">
        <v>0.35</v>
      </c>
      <c r="AB64" s="25">
        <v>0.35</v>
      </c>
      <c r="AC64" s="25">
        <v>0.35</v>
      </c>
      <c r="AD64" s="25">
        <v>0.35</v>
      </c>
      <c r="AE64" s="25">
        <v>0.35</v>
      </c>
      <c r="AF64" s="25">
        <v>0.35</v>
      </c>
      <c r="AG64" s="25">
        <v>0.35</v>
      </c>
      <c r="AH64" s="25">
        <v>0.35</v>
      </c>
      <c r="AI64" s="25">
        <v>0.35</v>
      </c>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row>
    <row r="65" spans="1:61" s="1" customFormat="1">
      <c r="A65" s="27" t="s">
        <v>111</v>
      </c>
      <c r="B65" s="10" t="str">
        <f>IF(A65="","",VLOOKUP(A65,'DS Nhân viên'!B:C,2,FALSE))</f>
        <v>Nguyễn Thị Trà Giang</v>
      </c>
      <c r="C65" s="11" t="str">
        <f>IF(A65="","",VLOOKUP(A65,'DS Nhân viên'!B:D,3,FALSE))</f>
        <v>P.Kỹ thuật IBS</v>
      </c>
      <c r="D65" s="11" t="str">
        <f>IF(A65="","",VLOOKUP(A65,'DS Nhân viên'!$B:$F,5,FALSE))</f>
        <v>Chính thức</v>
      </c>
      <c r="E65" s="62" t="s">
        <v>110</v>
      </c>
      <c r="F65" s="12" t="str">
        <f>IF($E65="","",VLOOKUP($E65,'DS Dự án'!$B:$F,2,FALSE))</f>
        <v>TK BI DWH BW SAO HOA</v>
      </c>
      <c r="G65" s="10" t="str">
        <f>IF($E65="","",VLOOKUP($E65,'DS Dự án'!$B:$F,4,FALSE))</f>
        <v>AnhHT</v>
      </c>
      <c r="H65" s="10" t="str">
        <f>IF($E65="","",VLOOKUP(E65,'DS Dự án'!$B:$F,5,0))</f>
        <v>Đang thực hiện (Đã có hợp đồng)</v>
      </c>
      <c r="I65" s="28" t="str">
        <f t="shared" si="50"/>
        <v>giangnttBD_BW0_01_00</v>
      </c>
      <c r="J65" s="25">
        <v>1</v>
      </c>
      <c r="K65" s="25">
        <v>1</v>
      </c>
      <c r="L65" s="25">
        <v>1</v>
      </c>
      <c r="M65" s="25">
        <v>1</v>
      </c>
      <c r="N65" s="25">
        <v>1</v>
      </c>
      <c r="O65" s="25">
        <v>1</v>
      </c>
      <c r="P65" s="25"/>
      <c r="Q65" s="25">
        <v>1</v>
      </c>
      <c r="R65" s="25">
        <v>1</v>
      </c>
      <c r="S65" s="25">
        <v>1</v>
      </c>
      <c r="T65" s="25">
        <v>1</v>
      </c>
      <c r="U65" s="25">
        <v>1</v>
      </c>
      <c r="V65" s="25">
        <v>1</v>
      </c>
      <c r="W65" s="25">
        <v>0.6</v>
      </c>
      <c r="X65" s="25">
        <v>0.6</v>
      </c>
      <c r="Y65" s="25">
        <v>0.6</v>
      </c>
      <c r="Z65" s="25">
        <v>0.6</v>
      </c>
      <c r="AA65" s="25">
        <v>0.6</v>
      </c>
      <c r="AB65" s="25">
        <v>0.6</v>
      </c>
      <c r="AC65" s="25">
        <v>0.6</v>
      </c>
      <c r="AD65" s="25">
        <v>0.6</v>
      </c>
      <c r="AE65" s="25">
        <v>0.5</v>
      </c>
      <c r="AF65" s="25">
        <v>0.5</v>
      </c>
      <c r="AG65" s="25">
        <v>0.5</v>
      </c>
      <c r="AH65" s="25">
        <v>0.5</v>
      </c>
      <c r="AI65" s="25">
        <v>0.5</v>
      </c>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row>
    <row r="66" spans="1:61" s="1" customFormat="1">
      <c r="A66" s="14" t="s">
        <v>112</v>
      </c>
      <c r="B66" s="10" t="str">
        <f>IF(A66="","",VLOOKUP(A66,'DS Nhân viên'!B:C,2,FALSE))</f>
        <v>Nguyễn Anh Đức</v>
      </c>
      <c r="C66" s="11" t="s">
        <v>54</v>
      </c>
      <c r="D66" s="11" t="str">
        <f>IF(A66="","",VLOOKUP(A66,'DS Nhân viên'!$B:$F,5,FALSE))</f>
        <v>Học việc</v>
      </c>
      <c r="E66" s="62" t="s">
        <v>110</v>
      </c>
      <c r="F66" s="12" t="str">
        <f>IF($E66="","",VLOOKUP($E66,'DS Dự án'!$B:$F,2,FALSE))</f>
        <v>TK BI DWH BW SAO HOA</v>
      </c>
      <c r="G66" s="10" t="str">
        <f>IF($E66="","",VLOOKUP($E66,'DS Dự án'!$B:$F,4,FALSE))</f>
        <v>AnhHT</v>
      </c>
      <c r="H66" s="10" t="str">
        <f>IF($E66="","",VLOOKUP(E66,'DS Dự án'!$B:$F,5,0))</f>
        <v>Đang thực hiện (Đã có hợp đồng)</v>
      </c>
      <c r="I66" s="28" t="str">
        <f t="shared" si="50"/>
        <v>ducnaBD_BW0_01_00</v>
      </c>
      <c r="J66" s="25"/>
      <c r="K66" s="25"/>
      <c r="L66" s="25">
        <v>1</v>
      </c>
      <c r="M66" s="25">
        <v>1</v>
      </c>
      <c r="N66" s="25">
        <v>1</v>
      </c>
      <c r="O66" s="25">
        <v>1</v>
      </c>
      <c r="P66" s="25"/>
      <c r="Q66" s="25">
        <v>1</v>
      </c>
      <c r="R66" s="25">
        <v>1</v>
      </c>
      <c r="S66" s="25">
        <v>1</v>
      </c>
      <c r="T66" s="25">
        <v>1</v>
      </c>
      <c r="U66" s="25">
        <v>1</v>
      </c>
      <c r="V66" s="25">
        <v>1</v>
      </c>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row>
    <row r="67" spans="1:61" s="1" customFormat="1">
      <c r="A67" s="14" t="s">
        <v>99</v>
      </c>
      <c r="B67" s="10" t="str">
        <f>IF(A67="","",VLOOKUP(A67,'DS Nhân viên'!B:C,2,FALSE))</f>
        <v>Nguyễn Văn Diên</v>
      </c>
      <c r="C67" s="11" t="s">
        <v>54</v>
      </c>
      <c r="D67" s="11" t="str">
        <f>IF(A67="","",VLOOKUP(A67,'DS Nhân viên'!$B:$F,5,FALSE))</f>
        <v>Chính thức</v>
      </c>
      <c r="E67" s="62" t="s">
        <v>110</v>
      </c>
      <c r="F67" s="12" t="str">
        <f>IF($E67="","",VLOOKUP($E67,'DS Dự án'!$B:$F,2,FALSE))</f>
        <v>TK BI DWH BW SAO HOA</v>
      </c>
      <c r="G67" s="10" t="str">
        <f>IF($E67="","",VLOOKUP($E67,'DS Dự án'!$B:$F,4,FALSE))</f>
        <v>AnhHT</v>
      </c>
      <c r="H67" s="10" t="str">
        <f>IF($E67="","",VLOOKUP(E67,'DS Dự án'!$B:$F,5,0))</f>
        <v>Đang thực hiện (Đã có hợp đồng)</v>
      </c>
      <c r="I67" s="28" t="str">
        <f t="shared" si="50"/>
        <v>diennvBD_BW0_01_00</v>
      </c>
      <c r="J67" s="25"/>
      <c r="K67" s="25"/>
      <c r="L67" s="25">
        <v>0.1</v>
      </c>
      <c r="M67" s="25">
        <v>0.2</v>
      </c>
      <c r="N67" s="25">
        <v>0.3</v>
      </c>
      <c r="O67" s="25">
        <v>0.5</v>
      </c>
      <c r="P67" s="25"/>
      <c r="Q67" s="25">
        <v>0.3</v>
      </c>
      <c r="R67" s="25">
        <v>0.8</v>
      </c>
      <c r="S67" s="25">
        <v>0.8</v>
      </c>
      <c r="T67" s="25">
        <v>0.8</v>
      </c>
      <c r="U67" s="25">
        <v>0.8</v>
      </c>
      <c r="V67" s="25">
        <v>0.8</v>
      </c>
      <c r="W67" s="25">
        <v>0.5</v>
      </c>
      <c r="X67" s="25">
        <v>0.49</v>
      </c>
      <c r="Y67" s="25">
        <v>0.49</v>
      </c>
      <c r="Z67" s="25">
        <v>0.49</v>
      </c>
      <c r="AA67" s="25">
        <v>0.49</v>
      </c>
      <c r="AB67" s="25">
        <v>0.2</v>
      </c>
      <c r="AC67" s="25">
        <v>0.2</v>
      </c>
      <c r="AD67" s="25">
        <v>0.2</v>
      </c>
      <c r="AE67" s="25">
        <v>0.2</v>
      </c>
      <c r="AF67" s="25">
        <v>0.2</v>
      </c>
      <c r="AG67" s="25">
        <v>0.2</v>
      </c>
      <c r="AH67" s="25">
        <v>0.2</v>
      </c>
      <c r="AI67" s="25">
        <v>0.2</v>
      </c>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row>
    <row r="68" spans="1:61" s="1" customFormat="1">
      <c r="A68" s="13" t="s">
        <v>71</v>
      </c>
      <c r="B68" s="10" t="str">
        <f>IF(A68="","",VLOOKUP(A68,'DS Nhân viên'!B:C,2,FALSE))</f>
        <v>Lê Chí Công</v>
      </c>
      <c r="C68" s="11" t="str">
        <f>IF(A68="","",VLOOKUP(A68,'DS Nhân viên'!B:D,3,FALSE))</f>
        <v>P.Kỹ thuật IBS</v>
      </c>
      <c r="D68" s="11" t="str">
        <f>IF(A68="","",VLOOKUP(A68,'DS Nhân viên'!$B:$F,5,FALSE))</f>
        <v>Chính thức</v>
      </c>
      <c r="E68" s="62" t="s">
        <v>110</v>
      </c>
      <c r="F68" s="12" t="str">
        <f>IF($E68="","",VLOOKUP($E68,'DS Dự án'!$B:$F,2,FALSE))</f>
        <v>TK BI DWH BW SAO HOA</v>
      </c>
      <c r="G68" s="10" t="str">
        <f>IF($E68="","",VLOOKUP($E68,'DS Dự án'!$B:$F,4,FALSE))</f>
        <v>AnhHT</v>
      </c>
      <c r="H68" s="10" t="str">
        <f>IF($E68="","",VLOOKUP(E68,'DS Dự án'!$B:$F,5,0))</f>
        <v>Đang thực hiện (Đã có hợp đồng)</v>
      </c>
      <c r="I68" s="28" t="str">
        <f t="shared" si="50"/>
        <v>conglcBD_BW0_01_00</v>
      </c>
      <c r="J68" s="25">
        <v>0.3</v>
      </c>
      <c r="K68" s="25"/>
      <c r="L68" s="25">
        <v>0.2</v>
      </c>
      <c r="M68" s="25">
        <v>0.25</v>
      </c>
      <c r="N68" s="25">
        <v>0.3</v>
      </c>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row>
    <row r="69" spans="1:61" s="1" customFormat="1">
      <c r="A69" s="13" t="s">
        <v>77</v>
      </c>
      <c r="B69" s="10" t="str">
        <f>IF(A69="","",VLOOKUP(A69,'DS Nhân viên'!B:C,2,FALSE))</f>
        <v>Hoàng Tuấn Anh</v>
      </c>
      <c r="C69" s="11" t="str">
        <f>IF(A69="","",VLOOKUP(A69,'DS Nhân viên'!B:D,3,FALSE))</f>
        <v>P.Nghiệp vụ IBS</v>
      </c>
      <c r="D69" s="11" t="str">
        <f>IF(A69="","",VLOOKUP(A69,'DS Nhân viên'!$B:$F,5,FALSE))</f>
        <v>Chính thức</v>
      </c>
      <c r="E69" s="62" t="s">
        <v>110</v>
      </c>
      <c r="F69" s="12" t="str">
        <f>IF($E69="","",VLOOKUP($E69,'DS Dự án'!$B:$F,2,FALSE))</f>
        <v>TK BI DWH BW SAO HOA</v>
      </c>
      <c r="G69" s="10" t="str">
        <f>IF($E69="","",VLOOKUP($E69,'DS Dự án'!$B:$F,4,FALSE))</f>
        <v>AnhHT</v>
      </c>
      <c r="H69" s="10" t="str">
        <f>IF($E69="","",VLOOKUP(E69,'DS Dự án'!$B:$F,5,0))</f>
        <v>Đang thực hiện (Đã có hợp đồng)</v>
      </c>
      <c r="I69" s="28" t="str">
        <f t="shared" si="50"/>
        <v>anhhtBD_BW0_01_00</v>
      </c>
      <c r="J69" s="25">
        <v>0.4</v>
      </c>
      <c r="K69" s="25">
        <v>0.3</v>
      </c>
      <c r="L69" s="25">
        <v>0.4</v>
      </c>
      <c r="M69" s="25">
        <v>0.4</v>
      </c>
      <c r="N69" s="25">
        <v>0.4</v>
      </c>
      <c r="O69" s="25">
        <v>0.3</v>
      </c>
      <c r="P69" s="25"/>
      <c r="Q69" s="25">
        <v>0.35</v>
      </c>
      <c r="R69" s="25">
        <v>0.25</v>
      </c>
      <c r="S69" s="25">
        <v>0.25</v>
      </c>
      <c r="T69" s="25">
        <v>0.25</v>
      </c>
      <c r="U69" s="25">
        <v>0.25</v>
      </c>
      <c r="V69" s="25">
        <v>0.25</v>
      </c>
      <c r="W69" s="25">
        <v>0.3</v>
      </c>
      <c r="X69" s="25">
        <v>0.3</v>
      </c>
      <c r="Y69" s="25">
        <v>0.3</v>
      </c>
      <c r="Z69" s="25">
        <v>0.3</v>
      </c>
      <c r="AA69" s="25">
        <v>0.3</v>
      </c>
      <c r="AB69" s="25">
        <v>0.3</v>
      </c>
      <c r="AC69" s="25">
        <v>0.3</v>
      </c>
      <c r="AD69" s="25">
        <v>0.3</v>
      </c>
      <c r="AE69" s="25">
        <v>0.3</v>
      </c>
      <c r="AF69" s="25">
        <v>0.3</v>
      </c>
      <c r="AG69" s="25">
        <v>0.3</v>
      </c>
      <c r="AH69" s="25">
        <v>0.3</v>
      </c>
      <c r="AI69" s="25">
        <v>0.3</v>
      </c>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row>
    <row r="70" spans="1:61" s="1" customFormat="1">
      <c r="A70" s="14" t="s">
        <v>107</v>
      </c>
      <c r="B70" s="10" t="str">
        <f>IF(A70="","",VLOOKUP(A70,'DS Nhân viên'!B:C,2,FALSE))</f>
        <v>Phí Quang Vinh</v>
      </c>
      <c r="C70" s="11" t="s">
        <v>54</v>
      </c>
      <c r="D70" s="11" t="str">
        <f>IF(A70="","",VLOOKUP(A70,'DS Nhân viên'!$B:$F,5,FALSE))</f>
        <v>Thử việc</v>
      </c>
      <c r="E70" s="62" t="s">
        <v>113</v>
      </c>
      <c r="F70" s="12" t="str">
        <f>IF($E70="","",VLOOKUP($E70,'DS Dự án'!$B:$F,2,FALSE))</f>
        <v>TK PM QLNL NB</v>
      </c>
      <c r="G70" s="10" t="str">
        <f>IF($E70="","",VLOOKUP($E70,'DS Dự án'!$B:$F,4,FALSE))</f>
        <v>LamBH</v>
      </c>
      <c r="H70" s="10" t="str">
        <f>IF($E70="","",VLOOKUP(E70,'DS Dự án'!$B:$F,5,0))</f>
        <v>Đang thực hiện (Nội bộ)</v>
      </c>
      <c r="I70" s="28" t="str">
        <f t="shared" si="50"/>
        <v>vinhpqNB_CHAMCONG</v>
      </c>
      <c r="J70" s="25"/>
      <c r="K70" s="25"/>
      <c r="L70" s="25">
        <v>0.6</v>
      </c>
      <c r="M70" s="25">
        <v>0.8</v>
      </c>
      <c r="N70" s="25">
        <v>0.8</v>
      </c>
      <c r="O70" s="25">
        <v>0.6</v>
      </c>
      <c r="P70" s="25"/>
      <c r="Q70" s="25">
        <v>0.3</v>
      </c>
      <c r="R70" s="25">
        <v>0.3</v>
      </c>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row>
    <row r="71" spans="1:61" s="1" customFormat="1">
      <c r="A71" s="14" t="s">
        <v>100</v>
      </c>
      <c r="B71" s="10" t="str">
        <f>IF(A71="","",VLOOKUP(A71,'DS Nhân viên'!B:C,2,FALSE))</f>
        <v>Nguyễn Khắc Mạnh</v>
      </c>
      <c r="C71" s="11" t="s">
        <v>54</v>
      </c>
      <c r="D71" s="11" t="str">
        <f>IF(A71="","",VLOOKUP(A71,'DS Nhân viên'!$B:$F,5,FALSE))</f>
        <v>Chính thức</v>
      </c>
      <c r="E71" s="62" t="s">
        <v>113</v>
      </c>
      <c r="F71" s="12" t="str">
        <f>IF($E71="","",VLOOKUP($E71,'DS Dự án'!$B:$F,2,FALSE))</f>
        <v>TK PM QLNL NB</v>
      </c>
      <c r="G71" s="10" t="str">
        <f>IF($E71="","",VLOOKUP($E71,'DS Dự án'!$B:$F,4,FALSE))</f>
        <v>LamBH</v>
      </c>
      <c r="H71" s="10" t="str">
        <f>IF($E71="","",VLOOKUP(E71,'DS Dự án'!$B:$F,5,0))</f>
        <v>Đang thực hiện (Nội bộ)</v>
      </c>
      <c r="I71" s="28" t="str">
        <f t="shared" si="50"/>
        <v>manhnkNB_CHAMCONG</v>
      </c>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row>
    <row r="72" spans="1:61" s="1" customFormat="1">
      <c r="A72" s="14" t="s">
        <v>109</v>
      </c>
      <c r="B72" s="10" t="str">
        <f>IF(A72="","",VLOOKUP(A72,'DS Nhân viên'!B:C,2,FALSE))</f>
        <v>Vương Duy Long</v>
      </c>
      <c r="C72" s="11" t="s">
        <v>54</v>
      </c>
      <c r="D72" s="11" t="str">
        <f>IF(A72="","",VLOOKUP(A72,'DS Nhân viên'!$B:$F,5,FALSE))</f>
        <v>Thử việc</v>
      </c>
      <c r="E72" s="62" t="s">
        <v>113</v>
      </c>
      <c r="F72" s="12" t="str">
        <f>IF($E72="","",VLOOKUP($E72,'DS Dự án'!$B:$F,2,FALSE))</f>
        <v>TK PM QLNL NB</v>
      </c>
      <c r="G72" s="10" t="str">
        <f>IF($E72="","",VLOOKUP($E72,'DS Dự án'!$B:$F,4,FALSE))</f>
        <v>LamBH</v>
      </c>
      <c r="H72" s="10" t="str">
        <f>IF($E72="","",VLOOKUP(E72,'DS Dự án'!$B:$F,5,0))</f>
        <v>Đang thực hiện (Nội bộ)</v>
      </c>
      <c r="I72" s="28" t="str">
        <f t="shared" si="50"/>
        <v>longvdNB_CHAMCONG</v>
      </c>
      <c r="J72" s="25"/>
      <c r="K72" s="25"/>
      <c r="L72" s="25">
        <v>0.1</v>
      </c>
      <c r="M72" s="25">
        <v>0.1</v>
      </c>
      <c r="N72" s="25">
        <v>0.1</v>
      </c>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row>
    <row r="73" spans="1:61" s="1" customFormat="1">
      <c r="A73" s="14" t="s">
        <v>101</v>
      </c>
      <c r="B73" s="10" t="str">
        <f>IF(A73="","",VLOOKUP(A73,'DS Nhân viên'!B:C,2,FALSE))</f>
        <v>Bùi Hữu Lâm</v>
      </c>
      <c r="C73" s="11" t="s">
        <v>54</v>
      </c>
      <c r="D73" s="11" t="str">
        <f>IF(A73="","",VLOOKUP(A73,'DS Nhân viên'!$B:$F,5,FALSE))</f>
        <v>Chính thức</v>
      </c>
      <c r="E73" s="62" t="s">
        <v>113</v>
      </c>
      <c r="F73" s="12" t="str">
        <f>IF($E73="","",VLOOKUP($E73,'DS Dự án'!$B:$F,2,FALSE))</f>
        <v>TK PM QLNL NB</v>
      </c>
      <c r="G73" s="10" t="str">
        <f>IF($E73="","",VLOOKUP($E73,'DS Dự án'!$B:$F,4,FALSE))</f>
        <v>LamBH</v>
      </c>
      <c r="H73" s="10" t="str">
        <f>IF($E73="","",VLOOKUP(E73,'DS Dự án'!$B:$F,5,0))</f>
        <v>Đang thực hiện (Nội bộ)</v>
      </c>
      <c r="I73" s="28" t="str">
        <f t="shared" si="50"/>
        <v>lambhNB_CHAMCONG</v>
      </c>
      <c r="J73" s="25"/>
      <c r="K73" s="25"/>
      <c r="L73" s="25">
        <v>0.3</v>
      </c>
      <c r="M73" s="25">
        <v>0.1</v>
      </c>
      <c r="N73" s="25">
        <v>0.1</v>
      </c>
      <c r="O73" s="25">
        <v>0.1</v>
      </c>
      <c r="P73" s="25"/>
      <c r="Q73" s="25">
        <v>0.1</v>
      </c>
      <c r="R73" s="25">
        <v>0.1</v>
      </c>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row>
    <row r="74" spans="1:61" s="1" customFormat="1">
      <c r="A74" s="13" t="s">
        <v>87</v>
      </c>
      <c r="B74" s="10" t="str">
        <f>IF(A74="","",VLOOKUP(A74,'DS Nhân viên'!B:C,2,FALSE))</f>
        <v>Trần Thị Thanh Huyền</v>
      </c>
      <c r="C74" s="11" t="str">
        <f>IF(A74="","",VLOOKUP(A74,'DS Nhân viên'!B:D,3,FALSE))</f>
        <v>P.Nghiệp vụ IBS</v>
      </c>
      <c r="D74" s="11" t="str">
        <f>IF(A74="","",VLOOKUP(A74,'DS Nhân viên'!$B:$F,5,FALSE))</f>
        <v>Chính thức</v>
      </c>
      <c r="E74" s="62" t="s">
        <v>113</v>
      </c>
      <c r="F74" s="12" t="str">
        <f>IF($E74="","",VLOOKUP($E74,'DS Dự án'!$B:$F,2,FALSE))</f>
        <v>TK PM QLNL NB</v>
      </c>
      <c r="G74" s="10" t="str">
        <f>IF($E74="","",VLOOKUP($E74,'DS Dự án'!$B:$F,4,FALSE))</f>
        <v>LamBH</v>
      </c>
      <c r="H74" s="10" t="str">
        <f>IF($E74="","",VLOOKUP(E74,'DS Dự án'!$B:$F,5,0))</f>
        <v>Đang thực hiện (Nội bộ)</v>
      </c>
      <c r="I74" s="28" t="str">
        <f t="shared" si="50"/>
        <v>huyentttNB_CHAMCONG</v>
      </c>
      <c r="J74" s="25"/>
      <c r="K74" s="25">
        <v>0.45</v>
      </c>
      <c r="L74" s="25">
        <v>0.4</v>
      </c>
      <c r="M74" s="25">
        <v>0.4</v>
      </c>
      <c r="N74" s="25">
        <v>0.4</v>
      </c>
      <c r="O74" s="25">
        <v>0.4</v>
      </c>
      <c r="P74" s="25"/>
      <c r="Q74" s="25">
        <v>0.6</v>
      </c>
      <c r="R74" s="25">
        <v>0.3</v>
      </c>
      <c r="S74" s="25">
        <v>0.3</v>
      </c>
      <c r="T74" s="25">
        <v>0.3</v>
      </c>
      <c r="U74" s="25">
        <v>0.3</v>
      </c>
      <c r="V74" s="25">
        <v>0.3</v>
      </c>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row>
    <row r="75" spans="1:61" s="1" customFormat="1">
      <c r="A75" s="14" t="s">
        <v>99</v>
      </c>
      <c r="B75" s="10" t="str">
        <f>IF(A75="","",VLOOKUP(A75,'DS Nhân viên'!B:C,2,FALSE))</f>
        <v>Nguyễn Văn Diên</v>
      </c>
      <c r="C75" s="11" t="s">
        <v>54</v>
      </c>
      <c r="D75" s="11" t="str">
        <f>IF(A75="","",VLOOKUP(A75,'DS Nhân viên'!$B:$F,5,FALSE))</f>
        <v>Chính thức</v>
      </c>
      <c r="E75" s="62" t="s">
        <v>113</v>
      </c>
      <c r="F75" s="12" t="str">
        <f>IF($E75="","",VLOOKUP($E75,'DS Dự án'!$B:$F,2,FALSE))</f>
        <v>TK PM QLNL NB</v>
      </c>
      <c r="G75" s="10" t="str">
        <f>IF($E75="","",VLOOKUP($E75,'DS Dự án'!$B:$F,4,FALSE))</f>
        <v>LamBH</v>
      </c>
      <c r="H75" s="10" t="str">
        <f>IF($E75="","",VLOOKUP(E75,'DS Dự án'!$B:$F,5,0))</f>
        <v>Đang thực hiện (Nội bộ)</v>
      </c>
      <c r="I75" s="28" t="str">
        <f t="shared" si="50"/>
        <v>diennvNB_CHAMCONG</v>
      </c>
      <c r="J75" s="25"/>
      <c r="K75" s="25"/>
      <c r="L75" s="25">
        <v>0.7</v>
      </c>
      <c r="M75" s="25">
        <v>0.8</v>
      </c>
      <c r="N75" s="25">
        <v>0.7</v>
      </c>
      <c r="O75" s="25">
        <v>0.2</v>
      </c>
      <c r="P75" s="25"/>
      <c r="Q75" s="25">
        <v>0.2</v>
      </c>
      <c r="R75" s="25">
        <v>0.1</v>
      </c>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row>
    <row r="76" spans="1:61" s="1" customFormat="1">
      <c r="A76" s="13" t="s">
        <v>77</v>
      </c>
      <c r="B76" s="10" t="str">
        <f>IF(A76="","",VLOOKUP(A76,'DS Nhân viên'!B:C,2,FALSE))</f>
        <v>Hoàng Tuấn Anh</v>
      </c>
      <c r="C76" s="11" t="str">
        <f>IF(B76="","",VLOOKUP(B76,'DS Nhân viên'!C:D,2,FALSE))</f>
        <v>P.Nghiệp vụ IBS</v>
      </c>
      <c r="D76" s="11" t="str">
        <f>IF(A76="","",VLOOKUP(A76,'DS Nhân viên'!$B:$F,5,FALSE))</f>
        <v>Chính thức</v>
      </c>
      <c r="E76" s="70" t="s">
        <v>113</v>
      </c>
      <c r="F76" s="12" t="str">
        <f>IF($E76="","",VLOOKUP($E76,'DS Dự án'!$B:$F,2,FALSE))</f>
        <v>TK PM QLNL NB</v>
      </c>
      <c r="G76" s="10" t="str">
        <f>IF($E76="","",VLOOKUP($E76,'DS Dự án'!$B:$F,4,FALSE))</f>
        <v>LamBH</v>
      </c>
      <c r="H76" s="10" t="str">
        <f>IF($E76="","",VLOOKUP(E76,'DS Dự án'!$B:$F,5,0))</f>
        <v>Đang thực hiện (Nội bộ)</v>
      </c>
      <c r="I76" s="28" t="str">
        <f t="shared" si="50"/>
        <v>anhhtNB_CHAMCONG</v>
      </c>
      <c r="J76" s="25"/>
      <c r="K76" s="25"/>
      <c r="L76" s="25"/>
      <c r="M76" s="25"/>
      <c r="N76" s="25"/>
      <c r="O76" s="25">
        <v>0.15</v>
      </c>
      <c r="P76" s="25"/>
      <c r="Q76" s="25">
        <v>0.15</v>
      </c>
      <c r="R76" s="25">
        <v>0.15</v>
      </c>
      <c r="S76" s="25">
        <v>0.15</v>
      </c>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row>
    <row r="77" spans="1:61" s="1" customFormat="1">
      <c r="A77" s="13" t="s">
        <v>77</v>
      </c>
      <c r="B77" s="10" t="str">
        <f>IF(A77="","",VLOOKUP(A77,'DS Nhân viên'!B:C,2,FALSE))</f>
        <v>Hoàng Tuấn Anh</v>
      </c>
      <c r="C77" s="11" t="str">
        <f>IF(B77="","",VLOOKUP(B77,'DS Nhân viên'!C:D,2,FALSE))</f>
        <v>P.Nghiệp vụ IBS</v>
      </c>
      <c r="D77" s="11" t="str">
        <f>IF(A77="","",VLOOKUP(A77,'DS Nhân viên'!$B:$F,5,FALSE))</f>
        <v>Chính thức</v>
      </c>
      <c r="E77" s="69" t="s">
        <v>114</v>
      </c>
      <c r="F77" s="12" t="str">
        <f>IF($E77="","",VLOOKUP($E77,'DS Dự án'!$B:$F,2,FALSE))</f>
        <v>TU VAN SUITE CLOUD</v>
      </c>
      <c r="G77" s="10" t="str">
        <f>IF($E77="","",VLOOKUP($E77,'DS Dự án'!$B:$F,4,FALSE))</f>
        <v>AnhHT</v>
      </c>
      <c r="H77" s="10" t="str">
        <f>IF($E77="","",VLOOKUP(E77,'DS Dự án'!$B:$F,5,0))</f>
        <v>Đang thực hiện (Chưa có hợp đồng)</v>
      </c>
      <c r="I77" s="28" t="str">
        <f t="shared" si="50"/>
        <v>anhhtBD_SU0_01_00</v>
      </c>
      <c r="J77" s="25"/>
      <c r="K77" s="25"/>
      <c r="L77" s="25"/>
      <c r="M77" s="25"/>
      <c r="N77" s="25"/>
      <c r="O77" s="25">
        <v>0.15</v>
      </c>
      <c r="P77" s="25"/>
      <c r="Q77" s="25">
        <v>0.15</v>
      </c>
      <c r="R77" s="25">
        <v>0.15</v>
      </c>
      <c r="S77" s="25">
        <v>0.15</v>
      </c>
      <c r="T77" s="25">
        <v>0.15</v>
      </c>
      <c r="U77" s="25">
        <v>0.3</v>
      </c>
      <c r="V77" s="25">
        <v>0.3</v>
      </c>
      <c r="W77" s="25">
        <v>0.15</v>
      </c>
      <c r="X77" s="25">
        <v>0.15</v>
      </c>
      <c r="Y77" s="25">
        <v>0.15</v>
      </c>
      <c r="Z77" s="25">
        <v>0.15</v>
      </c>
      <c r="AA77" s="25">
        <v>0.15</v>
      </c>
      <c r="AB77" s="25">
        <v>0.15</v>
      </c>
      <c r="AC77" s="25">
        <v>0.15</v>
      </c>
      <c r="AD77" s="25">
        <v>0.15</v>
      </c>
      <c r="AE77" s="25">
        <v>0.15</v>
      </c>
      <c r="AF77" s="25">
        <v>0.15</v>
      </c>
      <c r="AG77" s="25">
        <v>0.15</v>
      </c>
      <c r="AH77" s="25">
        <v>0.15</v>
      </c>
      <c r="AI77" s="25">
        <v>0.15</v>
      </c>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row>
    <row r="78" spans="1:61" s="1" customFormat="1">
      <c r="A78" s="13" t="s">
        <v>74</v>
      </c>
      <c r="B78" s="10" t="str">
        <f>IF(A78="","",VLOOKUP(A78,'DS Nhân viên'!B:C,2,FALSE))</f>
        <v>Nguyễn Việt Lâm</v>
      </c>
      <c r="C78" s="11" t="str">
        <f>IF(A78="","",VLOOKUP(A78,'DS Nhân viên'!B:D,3,FALSE))</f>
        <v>P.Kỹ thuật IBS</v>
      </c>
      <c r="D78" s="11" t="str">
        <f>IF(A78="","",VLOOKUP(A78,'DS Nhân viên'!$B:$F,5,FALSE))</f>
        <v>Học việc</v>
      </c>
      <c r="E78" s="59" t="s">
        <v>114</v>
      </c>
      <c r="F78" s="12" t="str">
        <f>IF($E78="","",VLOOKUP($E78,'DS Dự án'!$B:$F,2,FALSE))</f>
        <v>TU VAN SUITE CLOUD</v>
      </c>
      <c r="G78" s="10" t="str">
        <f>IF($E78="","",VLOOKUP($E78,'DS Dự án'!$B:$F,4,FALSE))</f>
        <v>AnhHT</v>
      </c>
      <c r="H78" s="10" t="str">
        <f>IF($E78="","",VLOOKUP(E78,'DS Dự án'!$B:$F,5,0))</f>
        <v>Đang thực hiện (Chưa có hợp đồng)</v>
      </c>
      <c r="I78" s="28" t="str">
        <f t="shared" si="50"/>
        <v>lamnvBD_SU0_01_00</v>
      </c>
      <c r="J78" s="25"/>
      <c r="K78" s="25"/>
      <c r="L78" s="25"/>
      <c r="M78" s="25"/>
      <c r="N78" s="25"/>
      <c r="O78" s="25"/>
      <c r="P78" s="25"/>
      <c r="Q78" s="25">
        <v>0.15</v>
      </c>
      <c r="R78" s="25">
        <v>0.3</v>
      </c>
      <c r="S78" s="25">
        <v>0.3</v>
      </c>
      <c r="T78" s="25">
        <v>0.2</v>
      </c>
      <c r="U78" s="25">
        <v>0.2</v>
      </c>
      <c r="V78" s="25">
        <v>0.2</v>
      </c>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row>
    <row r="79" spans="1:61" s="1" customFormat="1">
      <c r="A79" s="13" t="s">
        <v>74</v>
      </c>
      <c r="B79" s="10" t="str">
        <f>IF(A79="","",VLOOKUP(A79,'DS Nhân viên'!B:C,2,FALSE))</f>
        <v>Nguyễn Việt Lâm</v>
      </c>
      <c r="C79" s="11" t="str">
        <f>IF(A79="","",VLOOKUP(A79,'DS Nhân viên'!B:D,3,FALSE))</f>
        <v>P.Kỹ thuật IBS</v>
      </c>
      <c r="D79" s="11" t="str">
        <f>IF(A79="","",VLOOKUP(A79,'DS Nhân viên'!$B:$F,5,FALSE))</f>
        <v>Học việc</v>
      </c>
      <c r="E79" s="62" t="s">
        <v>115</v>
      </c>
      <c r="F79" s="12" t="str">
        <f>IF($E79="","",VLOOKUP($E79,'DS Dự án'!$B:$F,2,FALSE))</f>
        <v>VAECO</v>
      </c>
      <c r="G79" s="10" t="str">
        <f>IF($E79="","",VLOOKUP($E79,'DS Dự án'!$B:$F,4,FALSE))</f>
        <v>AnhNHT</v>
      </c>
      <c r="H79" s="10" t="str">
        <f>IF($E79="","",VLOOKUP(E79,'DS Dự án'!$B:$F,5,0))</f>
        <v>Cơ hội</v>
      </c>
      <c r="I79" s="28" t="str">
        <f t="shared" si="50"/>
        <v>lamnvVAECO</v>
      </c>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row>
    <row r="80" spans="1:61" s="1" customFormat="1">
      <c r="A80" s="13" t="s">
        <v>77</v>
      </c>
      <c r="B80" s="10" t="str">
        <f>IF(A80="","",VLOOKUP(A80,'DS Nhân viên'!B:C,2,FALSE))</f>
        <v>Hoàng Tuấn Anh</v>
      </c>
      <c r="C80" s="11" t="str">
        <f>IF(B80="","",VLOOKUP(B80,'DS Nhân viên'!C:D,2,FALSE))</f>
        <v>P.Nghiệp vụ IBS</v>
      </c>
      <c r="D80" s="11" t="str">
        <f>IF(A80="","",VLOOKUP(A80,'DS Nhân viên'!$B:$F,5,FALSE))</f>
        <v>Chính thức</v>
      </c>
      <c r="E80" s="72" t="s">
        <v>116</v>
      </c>
      <c r="F80" s="12" t="str">
        <f>IF($E80="","",VLOOKUP($E80,'DS Dự án'!$B:$F,2,FALSE))</f>
        <v>Vận hành công ty NDI</v>
      </c>
      <c r="G80" s="10" t="str">
        <f>IF($E80="","",VLOOKUP($E80,'DS Dự án'!$B:$F,4,FALSE))</f>
        <v>HaiDL</v>
      </c>
      <c r="H80" s="10" t="str">
        <f>IF($E80="","",VLOOKUP(E80,'DS Dự án'!$B:$F,5,0))</f>
        <v>Đang thực hiện (Nội bộ)</v>
      </c>
      <c r="I80" s="28" t="str">
        <f t="shared" si="50"/>
        <v>anhhtNB_NDI</v>
      </c>
      <c r="J80" s="25"/>
      <c r="K80" s="25"/>
      <c r="L80" s="25"/>
      <c r="M80" s="25"/>
      <c r="N80" s="25"/>
      <c r="O80" s="25">
        <v>0.15</v>
      </c>
      <c r="P80" s="25"/>
      <c r="Q80" s="25">
        <v>0.15</v>
      </c>
      <c r="R80" s="25">
        <v>0.15</v>
      </c>
      <c r="S80" s="25">
        <v>0.15</v>
      </c>
      <c r="T80" s="25">
        <v>0.15</v>
      </c>
      <c r="U80" s="25">
        <v>0.15</v>
      </c>
      <c r="V80" s="25">
        <v>0.15</v>
      </c>
      <c r="W80" s="25">
        <v>0.15</v>
      </c>
      <c r="X80" s="25"/>
      <c r="Y80" s="25">
        <v>0.15</v>
      </c>
      <c r="Z80" s="25">
        <v>0.15</v>
      </c>
      <c r="AA80" s="25">
        <v>0.15</v>
      </c>
      <c r="AB80" s="25"/>
      <c r="AC80" s="25">
        <v>0.15</v>
      </c>
      <c r="AD80" s="25">
        <v>0.15</v>
      </c>
      <c r="AE80" s="25">
        <v>0.15</v>
      </c>
      <c r="AF80" s="25"/>
      <c r="AG80" s="25">
        <v>0.15</v>
      </c>
      <c r="AH80" s="25">
        <v>0.15</v>
      </c>
      <c r="AI80" s="25">
        <v>0.15</v>
      </c>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row>
    <row r="81" spans="1:61" s="1" customFormat="1">
      <c r="A81" s="13" t="s">
        <v>77</v>
      </c>
      <c r="B81" s="10" t="str">
        <f>IF(A81="","",VLOOKUP(A81,'DS Nhân viên'!B:C,2,FALSE))</f>
        <v>Hoàng Tuấn Anh</v>
      </c>
      <c r="C81" s="11" t="str">
        <f>IF(A81="","",VLOOKUP(A81,'DS Nhân viên'!B:D,3,FALSE))</f>
        <v>P.Nghiệp vụ IBS</v>
      </c>
      <c r="D81" s="11" t="str">
        <f>IF(A81="","",VLOOKUP(A81,'DS Nhân viên'!$B:$F,5,FALSE))</f>
        <v>Chính thức</v>
      </c>
      <c r="E81" s="53" t="s">
        <v>117</v>
      </c>
      <c r="F81" s="12" t="str">
        <f>IF($E81="","",VLOOKUP($E81,'DS Dự án'!$B:$F,2,FALSE))</f>
        <v>Nâng cấp Ước KQKD</v>
      </c>
      <c r="G81" s="10" t="str">
        <f>IF($E81="","",VLOOKUP($E81,'DS Dự án'!$B:$F,4,FALSE))</f>
        <v>AnhHT</v>
      </c>
      <c r="H81" s="10" t="str">
        <f>IF($E81="","",VLOOKUP(E81,'DS Dự án'!$B:$F,5,0))</f>
        <v>Đang thực hiện (Chưa có hợp đồng)</v>
      </c>
      <c r="I81" s="28" t="str">
        <f t="shared" si="50"/>
        <v>anhhtBD_VR1_01_00</v>
      </c>
      <c r="J81" s="25"/>
      <c r="K81" s="25"/>
      <c r="L81" s="25"/>
      <c r="M81" s="25"/>
      <c r="N81" s="25"/>
      <c r="O81" s="25"/>
      <c r="P81" s="25"/>
      <c r="Q81" s="25"/>
      <c r="R81" s="25"/>
      <c r="S81" s="25"/>
      <c r="T81" s="25"/>
      <c r="U81" s="25"/>
      <c r="V81" s="25"/>
      <c r="W81" s="25">
        <v>0.25</v>
      </c>
      <c r="X81" s="25">
        <v>0.25</v>
      </c>
      <c r="Y81" s="25">
        <v>0.25</v>
      </c>
      <c r="Z81" s="25">
        <v>0.25</v>
      </c>
      <c r="AA81" s="25">
        <v>0.25</v>
      </c>
      <c r="AB81" s="25">
        <v>0.25</v>
      </c>
      <c r="AC81" s="25">
        <v>0.25</v>
      </c>
      <c r="AD81" s="25">
        <v>0.25</v>
      </c>
      <c r="AE81" s="25">
        <v>0.25</v>
      </c>
      <c r="AF81" s="25">
        <v>0.25</v>
      </c>
      <c r="AG81" s="25">
        <v>0.25</v>
      </c>
      <c r="AH81" s="25">
        <v>0.25</v>
      </c>
      <c r="AI81" s="25">
        <v>0.25</v>
      </c>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row>
    <row r="82" spans="1:61" s="1" customFormat="1">
      <c r="A82" s="13" t="s">
        <v>111</v>
      </c>
      <c r="B82" s="10" t="str">
        <f>IF(A82="","",VLOOKUP(A82,'DS Nhân viên'!B:C,2,FALSE))</f>
        <v>Nguyễn Thị Trà Giang</v>
      </c>
      <c r="C82" s="11" t="str">
        <f>IF(A82="","",VLOOKUP(A82,'DS Nhân viên'!B:D,3,FALSE))</f>
        <v>P.Kỹ thuật IBS</v>
      </c>
      <c r="D82" s="11" t="str">
        <f>IF(A82="","",VLOOKUP(A82,'DS Nhân viên'!$B:$F,5,FALSE))</f>
        <v>Chính thức</v>
      </c>
      <c r="E82" s="53" t="s">
        <v>117</v>
      </c>
      <c r="F82" s="12" t="str">
        <f>IF($E82="","",VLOOKUP($E82,'DS Dự án'!$B:$F,2,FALSE))</f>
        <v>Nâng cấp Ước KQKD</v>
      </c>
      <c r="G82" s="10" t="str">
        <f>IF($E82="","",VLOOKUP($E82,'DS Dự án'!$B:$F,4,FALSE))</f>
        <v>AnhHT</v>
      </c>
      <c r="H82" s="10" t="str">
        <f>IF($E82="","",VLOOKUP(E82,'DS Dự án'!$B:$F,5,0))</f>
        <v>Đang thực hiện (Chưa có hợp đồng)</v>
      </c>
      <c r="I82" s="28" t="str">
        <f t="shared" si="50"/>
        <v>giangnttBD_VR1_01_00</v>
      </c>
      <c r="J82" s="25"/>
      <c r="K82" s="25"/>
      <c r="L82" s="25"/>
      <c r="M82" s="25"/>
      <c r="N82" s="25"/>
      <c r="O82" s="25"/>
      <c r="P82" s="25"/>
      <c r="Q82" s="25"/>
      <c r="R82" s="25"/>
      <c r="S82" s="25"/>
      <c r="T82" s="25"/>
      <c r="U82" s="25"/>
      <c r="V82" s="25"/>
      <c r="W82" s="25">
        <v>0.4</v>
      </c>
      <c r="X82" s="25">
        <v>0.4</v>
      </c>
      <c r="Y82" s="25">
        <v>0.4</v>
      </c>
      <c r="Z82" s="25">
        <v>0.4</v>
      </c>
      <c r="AA82" s="25">
        <v>0.4</v>
      </c>
      <c r="AB82" s="25">
        <v>0.4</v>
      </c>
      <c r="AC82" s="25">
        <v>0.4</v>
      </c>
      <c r="AD82" s="25">
        <v>0.4</v>
      </c>
      <c r="AE82" s="25">
        <v>0.5</v>
      </c>
      <c r="AF82" s="25">
        <v>0.5</v>
      </c>
      <c r="AG82" s="25">
        <v>0.5</v>
      </c>
      <c r="AH82" s="25">
        <v>0.5</v>
      </c>
      <c r="AI82" s="25">
        <v>0.5</v>
      </c>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row>
    <row r="83" spans="1:61" s="1" customFormat="1">
      <c r="A83" s="13" t="s">
        <v>84</v>
      </c>
      <c r="B83" s="10" t="str">
        <f>IF(A83="","",VLOOKUP(A83,'DS Nhân viên'!B:C,2,FALSE))</f>
        <v>Hà Mạnh Tân</v>
      </c>
      <c r="C83" s="11" t="str">
        <f>IF(A83="","",VLOOKUP(A83,'DS Nhân viên'!B:D,3,FALSE))</f>
        <v>P.Nghiệp vụ IBS</v>
      </c>
      <c r="D83" s="11" t="str">
        <f>IF(A83="","",VLOOKUP(A83,'DS Nhân viên'!$B:$F,5,FALSE))</f>
        <v>Chính thức</v>
      </c>
      <c r="E83" s="53" t="s">
        <v>117</v>
      </c>
      <c r="F83" s="12" t="str">
        <f>IF($E83="","",VLOOKUP($E83,'DS Dự án'!$B:$F,2,FALSE))</f>
        <v>Nâng cấp Ước KQKD</v>
      </c>
      <c r="G83" s="10" t="str">
        <f>IF($E83="","",VLOOKUP($E83,'DS Dự án'!$B:$F,4,FALSE))</f>
        <v>AnhHT</v>
      </c>
      <c r="H83" s="10" t="str">
        <f>IF($E83="","",VLOOKUP(E83,'DS Dự án'!$B:$F,5,0))</f>
        <v>Đang thực hiện (Chưa có hợp đồng)</v>
      </c>
      <c r="I83" s="28" t="str">
        <f t="shared" si="50"/>
        <v>tanhmBD_VR1_01_00</v>
      </c>
      <c r="J83" s="25"/>
      <c r="K83" s="25"/>
      <c r="L83" s="25"/>
      <c r="M83" s="25"/>
      <c r="N83" s="25"/>
      <c r="O83" s="25"/>
      <c r="P83" s="25"/>
      <c r="Q83" s="25"/>
      <c r="R83" s="25"/>
      <c r="S83" s="25">
        <v>0.8</v>
      </c>
      <c r="T83" s="25">
        <v>0.8</v>
      </c>
      <c r="U83" s="25">
        <v>0.8</v>
      </c>
      <c r="V83" s="25">
        <v>0.8</v>
      </c>
      <c r="W83" s="25">
        <v>0.8</v>
      </c>
      <c r="X83" s="25">
        <v>0.8</v>
      </c>
      <c r="Y83" s="25">
        <v>0.8</v>
      </c>
      <c r="Z83" s="25">
        <v>0.8</v>
      </c>
      <c r="AA83" s="25">
        <v>0.8</v>
      </c>
      <c r="AB83" s="25">
        <v>0.8</v>
      </c>
      <c r="AC83" s="25">
        <v>0.8</v>
      </c>
      <c r="AD83" s="25">
        <v>0.8</v>
      </c>
      <c r="AE83" s="25">
        <v>0.8</v>
      </c>
      <c r="AF83" s="25">
        <v>0.8</v>
      </c>
      <c r="AG83" s="25">
        <v>0.8</v>
      </c>
      <c r="AH83" s="25">
        <v>0.8</v>
      </c>
      <c r="AI83" s="25">
        <v>0.8</v>
      </c>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row>
    <row r="84" spans="1:61" s="1" customFormat="1">
      <c r="A84" s="14" t="s">
        <v>109</v>
      </c>
      <c r="B84" s="10" t="str">
        <f>IF(A84="","",VLOOKUP(A84,'DS Nhân viên'!B:C,2,FALSE))</f>
        <v>Vương Duy Long</v>
      </c>
      <c r="C84" s="11" t="str">
        <f>IF(A84="","",VLOOKUP(A84,'DS Nhân viên'!B:D,3,FALSE))</f>
        <v>P.Phát triển phần mềm</v>
      </c>
      <c r="D84" s="11" t="str">
        <f>IF(A84="","",VLOOKUP(A84,'DS Nhân viên'!$B:$F,5,FALSE))</f>
        <v>Thử việc</v>
      </c>
      <c r="E84" s="66" t="s">
        <v>118</v>
      </c>
      <c r="F84" s="12" t="str">
        <f>IF($E84="","",VLOOKUP($E84,'DS Dự án'!$B:$F,2,FALSE))</f>
        <v>Xuất hàng không dừng</v>
      </c>
      <c r="G84" s="10" t="str">
        <f>IF($E84="","",VLOOKUP($E84,'DS Dự án'!$B:$F,4,FALSE))</f>
        <v>LamBH</v>
      </c>
      <c r="H84" s="10" t="str">
        <f>IF($E84="","",VLOOKUP(E84,'DS Dự án'!$B:$F,5,0))</f>
        <v>Cơ hội</v>
      </c>
      <c r="I84" s="28" t="str">
        <f t="shared" si="50"/>
        <v>longvdB_CFC_AUTOMATION_XH</v>
      </c>
      <c r="J84" s="25"/>
      <c r="K84" s="25"/>
      <c r="L84" s="25"/>
      <c r="M84" s="25"/>
      <c r="N84" s="25"/>
      <c r="O84" s="25"/>
      <c r="P84" s="25"/>
      <c r="Q84" s="25"/>
      <c r="R84" s="25"/>
      <c r="S84" s="25"/>
      <c r="T84" s="25"/>
      <c r="U84" s="25"/>
      <c r="V84" s="25"/>
      <c r="W84" s="25">
        <v>0.9</v>
      </c>
      <c r="X84" s="25">
        <v>0.9</v>
      </c>
      <c r="Y84" s="25">
        <v>0.9</v>
      </c>
      <c r="Z84" s="25">
        <v>0.9</v>
      </c>
      <c r="AA84" s="25">
        <v>0.9</v>
      </c>
      <c r="AB84" s="25">
        <v>0.9</v>
      </c>
      <c r="AC84" s="25">
        <v>0.9</v>
      </c>
      <c r="AD84" s="25">
        <v>0.9</v>
      </c>
      <c r="AE84" s="25">
        <v>0.9</v>
      </c>
      <c r="AF84" s="25">
        <v>0.9</v>
      </c>
      <c r="AG84" s="25">
        <v>0.9</v>
      </c>
      <c r="AH84" s="25">
        <v>0.9</v>
      </c>
      <c r="AI84" s="25">
        <v>0.9</v>
      </c>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row>
    <row r="85" spans="1:61" s="1" customFormat="1">
      <c r="A85" s="14" t="s">
        <v>112</v>
      </c>
      <c r="B85" s="10" t="str">
        <f>IF(A85="","",VLOOKUP(A85,'DS Nhân viên'!B:C,2,FALSE))</f>
        <v>Nguyễn Anh Đức</v>
      </c>
      <c r="C85" s="11" t="str">
        <f>IF(A85="","",VLOOKUP(A85,'DS Nhân viên'!B:D,3,FALSE))</f>
        <v>P.Phát triển phần mềm</v>
      </c>
      <c r="D85" s="11" t="str">
        <f>IF(A85="","",VLOOKUP(A85,'DS Nhân viên'!$B:$F,5,FALSE))</f>
        <v>Học việc</v>
      </c>
      <c r="E85" s="66" t="s">
        <v>118</v>
      </c>
      <c r="F85" s="12" t="str">
        <f>IF($E85="","",VLOOKUP($E85,'DS Dự án'!$B:$F,2,FALSE))</f>
        <v>Xuất hàng không dừng</v>
      </c>
      <c r="G85" s="10" t="str">
        <f>IF($E85="","",VLOOKUP($E85,'DS Dự án'!$B:$F,4,FALSE))</f>
        <v>LamBH</v>
      </c>
      <c r="H85" s="10" t="str">
        <f>IF($E85="","",VLOOKUP(E85,'DS Dự án'!$B:$F,5,0))</f>
        <v>Cơ hội</v>
      </c>
      <c r="I85" s="28" t="str">
        <f t="shared" si="50"/>
        <v>ducnaB_CFC_AUTOMATION_XH</v>
      </c>
      <c r="J85" s="25"/>
      <c r="K85" s="25"/>
      <c r="L85" s="25"/>
      <c r="M85" s="25"/>
      <c r="N85" s="25"/>
      <c r="O85" s="25"/>
      <c r="P85" s="25"/>
      <c r="Q85" s="25"/>
      <c r="R85" s="25"/>
      <c r="S85" s="25"/>
      <c r="T85" s="25"/>
      <c r="U85" s="25"/>
      <c r="V85" s="25"/>
      <c r="W85" s="25">
        <v>0.9</v>
      </c>
      <c r="X85" s="25">
        <v>0.9</v>
      </c>
      <c r="Y85" s="25">
        <v>0.9</v>
      </c>
      <c r="Z85" s="25">
        <v>0.9</v>
      </c>
      <c r="AA85" s="25">
        <v>0.9</v>
      </c>
      <c r="AB85" s="25">
        <v>0.9</v>
      </c>
      <c r="AC85" s="25">
        <v>0.9</v>
      </c>
      <c r="AD85" s="25">
        <v>0.9</v>
      </c>
      <c r="AE85" s="25">
        <v>0.9</v>
      </c>
      <c r="AF85" s="25">
        <v>0.9</v>
      </c>
      <c r="AG85" s="25">
        <v>0.9</v>
      </c>
      <c r="AH85" s="25">
        <v>0.9</v>
      </c>
      <c r="AI85" s="25">
        <v>0.9</v>
      </c>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row>
    <row r="86" spans="1:61" s="1" customFormat="1">
      <c r="A86" s="13" t="s">
        <v>97</v>
      </c>
      <c r="B86" s="10" t="str">
        <f>IF(A86="","",VLOOKUP(A86,'DS Nhân viên'!B:C,2,FALSE))</f>
        <v>Nghiêm Thanh Tùng</v>
      </c>
      <c r="C86" s="11" t="str">
        <f>IF(A86="","",VLOOKUP(A86,'DS Nhân viên'!B:D,3,FALSE))</f>
        <v>P.Phát triển phần mềm</v>
      </c>
      <c r="D86" s="11" t="str">
        <f>IF(A86="","",VLOOKUP(A86,'DS Nhân viên'!$B:$F,5,FALSE))</f>
        <v>Chính thức</v>
      </c>
      <c r="E86" s="66" t="s">
        <v>118</v>
      </c>
      <c r="F86" s="12" t="str">
        <f>IF($E86="","",VLOOKUP($E86,'DS Dự án'!$B:$F,2,FALSE))</f>
        <v>Xuất hàng không dừng</v>
      </c>
      <c r="G86" s="10" t="str">
        <f>IF($E86="","",VLOOKUP($E86,'DS Dự án'!$B:$F,4,FALSE))</f>
        <v>LamBH</v>
      </c>
      <c r="H86" s="10" t="str">
        <f>IF($E86="","",VLOOKUP(E86,'DS Dự án'!$B:$F,5,0))</f>
        <v>Cơ hội</v>
      </c>
      <c r="I86" s="28" t="str">
        <f t="shared" si="50"/>
        <v>tungnt2B_CFC_AUTOMATION_XH</v>
      </c>
      <c r="J86" s="25"/>
      <c r="K86" s="25"/>
      <c r="L86" s="25"/>
      <c r="M86" s="25"/>
      <c r="N86" s="25"/>
      <c r="O86" s="25"/>
      <c r="P86" s="25"/>
      <c r="Q86" s="25"/>
      <c r="R86" s="25"/>
      <c r="S86" s="25"/>
      <c r="T86" s="25"/>
      <c r="U86" s="25"/>
      <c r="V86" s="25"/>
      <c r="W86" s="25">
        <v>0.49</v>
      </c>
      <c r="X86" s="25">
        <v>0.49</v>
      </c>
      <c r="Y86" s="25">
        <v>0.49</v>
      </c>
      <c r="Z86" s="25">
        <v>0.49</v>
      </c>
      <c r="AA86" s="25">
        <v>0.49</v>
      </c>
      <c r="AB86" s="25">
        <v>0.49</v>
      </c>
      <c r="AC86" s="25">
        <v>0.49</v>
      </c>
      <c r="AD86" s="25">
        <v>0.49</v>
      </c>
      <c r="AE86" s="25">
        <v>0.49</v>
      </c>
      <c r="AF86" s="25">
        <v>0.49</v>
      </c>
      <c r="AG86" s="25">
        <v>0.49</v>
      </c>
      <c r="AH86" s="25">
        <v>0.49</v>
      </c>
      <c r="AI86" s="25">
        <v>0.49</v>
      </c>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row>
    <row r="87" spans="1:61" s="1" customFormat="1">
      <c r="A87" s="14" t="s">
        <v>100</v>
      </c>
      <c r="B87" s="10" t="str">
        <f>IF(A87="","",VLOOKUP(A87,'DS Nhân viên'!B:C,2,FALSE))</f>
        <v>Nguyễn Khắc Mạnh</v>
      </c>
      <c r="C87" s="11" t="str">
        <f>IF(A87="","",VLOOKUP(A87,'DS Nhân viên'!B:D,3,FALSE))</f>
        <v>P.Phát triển phần mềm</v>
      </c>
      <c r="D87" s="11" t="str">
        <f>IF(A87="","",VLOOKUP(A87,'DS Nhân viên'!$B:$F,5,FALSE))</f>
        <v>Chính thức</v>
      </c>
      <c r="E87" s="66" t="s">
        <v>118</v>
      </c>
      <c r="F87" s="12" t="str">
        <f>IF($E87="","",VLOOKUP($E87,'DS Dự án'!$B:$F,2,FALSE))</f>
        <v>Xuất hàng không dừng</v>
      </c>
      <c r="G87" s="10" t="str">
        <f>IF($E87="","",VLOOKUP($E87,'DS Dự án'!$B:$F,4,FALSE))</f>
        <v>LamBH</v>
      </c>
      <c r="H87" s="10" t="str">
        <f>IF($E87="","",VLOOKUP(E87,'DS Dự án'!$B:$F,5,0))</f>
        <v>Cơ hội</v>
      </c>
      <c r="I87" s="28" t="str">
        <f t="shared" si="50"/>
        <v>manhnkB_CFC_AUTOMATION_XH</v>
      </c>
      <c r="J87" s="25"/>
      <c r="K87" s="25"/>
      <c r="L87" s="25"/>
      <c r="M87" s="25"/>
      <c r="N87" s="25"/>
      <c r="O87" s="25"/>
      <c r="P87" s="25"/>
      <c r="Q87" s="25"/>
      <c r="R87" s="25"/>
      <c r="S87" s="25"/>
      <c r="T87" s="25"/>
      <c r="U87" s="25"/>
      <c r="V87" s="25"/>
      <c r="W87" s="25"/>
      <c r="X87" s="25"/>
      <c r="Y87" s="25"/>
      <c r="Z87" s="25"/>
      <c r="AA87" s="25"/>
      <c r="AB87" s="25"/>
      <c r="AC87" s="25">
        <v>0.55000000000000004</v>
      </c>
      <c r="AD87" s="25">
        <v>0.55000000000000004</v>
      </c>
      <c r="AE87" s="25">
        <v>0.55000000000000004</v>
      </c>
      <c r="AF87" s="25">
        <v>0.55000000000000004</v>
      </c>
      <c r="AG87" s="25">
        <v>0.55000000000000004</v>
      </c>
      <c r="AH87" s="25">
        <v>0.55000000000000004</v>
      </c>
      <c r="AI87" s="25">
        <v>0.55000000000000004</v>
      </c>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row>
    <row r="88" spans="1:61" s="2" customFormat="1">
      <c r="A88" s="13" t="s">
        <v>101</v>
      </c>
      <c r="B88" s="10" t="str">
        <f>IF(A88="","",VLOOKUP(A88,'DS Nhân viên'!B:C,2,FALSE))</f>
        <v>Bùi Hữu Lâm</v>
      </c>
      <c r="C88" s="61" t="str">
        <f>IF(A88="","",VLOOKUP(A88,'DS Nhân viên'!B:D,3,FALSE))</f>
        <v>P.Phát triển phần mềm</v>
      </c>
      <c r="D88" s="61" t="str">
        <f>IF(A88="","",VLOOKUP(A88,'DS Nhân viên'!$B:$F,5,FALSE))</f>
        <v>Chính thức</v>
      </c>
      <c r="E88" s="66" t="s">
        <v>118</v>
      </c>
      <c r="F88" s="12" t="str">
        <f>IF($E88="","",VLOOKUP($E88,'DS Dự án'!$B:$F,2,FALSE))</f>
        <v>Xuất hàng không dừng</v>
      </c>
      <c r="G88" s="10" t="str">
        <f>IF($E88="","",VLOOKUP($E88,'DS Dự án'!$B:$F,4,FALSE))</f>
        <v>LamBH</v>
      </c>
      <c r="H88" s="10" t="str">
        <f>IF($E88="","",VLOOKUP(E88,'DS Dự án'!$B:$F,5,0))</f>
        <v>Cơ hội</v>
      </c>
      <c r="I88" s="28" t="str">
        <f t="shared" si="50"/>
        <v>lambhB_CFC_AUTOMATION_XH</v>
      </c>
      <c r="J88" s="25"/>
      <c r="K88" s="25"/>
      <c r="L88" s="25"/>
      <c r="M88" s="25"/>
      <c r="N88" s="25"/>
      <c r="O88" s="25"/>
      <c r="P88" s="25"/>
      <c r="Q88" s="25"/>
      <c r="R88" s="25"/>
      <c r="S88" s="25"/>
      <c r="T88" s="25"/>
      <c r="U88" s="25"/>
      <c r="V88" s="25"/>
      <c r="W88" s="25">
        <v>0.5</v>
      </c>
      <c r="X88" s="25">
        <v>0.5</v>
      </c>
      <c r="Y88" s="25">
        <v>0.5</v>
      </c>
      <c r="Z88" s="25">
        <v>0.7</v>
      </c>
      <c r="AA88" s="25">
        <v>0.7</v>
      </c>
      <c r="AB88" s="25">
        <v>0.7</v>
      </c>
      <c r="AC88" s="25">
        <v>0.7</v>
      </c>
      <c r="AD88" s="25">
        <v>0.7</v>
      </c>
      <c r="AE88" s="25">
        <v>0.85</v>
      </c>
      <c r="AF88" s="25">
        <v>0.85</v>
      </c>
      <c r="AG88" s="25">
        <v>0.95</v>
      </c>
      <c r="AH88" s="25">
        <v>0.95</v>
      </c>
      <c r="AI88" s="25">
        <v>0.95</v>
      </c>
      <c r="AJ88" s="25"/>
      <c r="AK88" s="25"/>
      <c r="AL88" s="25"/>
      <c r="AM88" s="25"/>
      <c r="AN88" s="25"/>
      <c r="AO88" s="25"/>
      <c r="AP88" s="25"/>
      <c r="AQ88" s="25"/>
      <c r="AR88" s="25"/>
      <c r="AS88" s="16"/>
      <c r="AT88" s="16"/>
      <c r="AU88" s="16"/>
      <c r="AV88" s="16"/>
      <c r="AW88" s="16"/>
      <c r="AX88" s="16"/>
      <c r="AY88" s="16"/>
      <c r="AZ88" s="16"/>
      <c r="BA88" s="16"/>
      <c r="BB88" s="16"/>
      <c r="BC88" s="16"/>
      <c r="BD88" s="16"/>
      <c r="BE88" s="16"/>
      <c r="BF88" s="16"/>
      <c r="BG88" s="16"/>
      <c r="BH88" s="16"/>
      <c r="BI88" s="16"/>
    </row>
    <row r="89" spans="1:61">
      <c r="A89" s="13" t="s">
        <v>107</v>
      </c>
      <c r="B89" s="10" t="str">
        <f>IF(A89="","",VLOOKUP(A89,'DS Nhân viên'!B:C,2,FALSE))</f>
        <v>Phí Quang Vinh</v>
      </c>
      <c r="C89" s="10" t="str">
        <f>IF(A89="","",VLOOKUP(A89,'DS Nhân viên'!B:D,3,FALSE))</f>
        <v>P.Phát triển phần mềm</v>
      </c>
      <c r="D89" s="11" t="str">
        <f>IF(A89="","",VLOOKUP(A89,'DS Nhân viên'!$B:$F,5,FALSE))</f>
        <v>Thử việc</v>
      </c>
      <c r="E89" s="63" t="s">
        <v>118</v>
      </c>
      <c r="F89" s="12" t="str">
        <f>IF($E89="","",VLOOKUP($E89,'DS Dự án'!$B:$F,2,FALSE))</f>
        <v>Xuất hàng không dừng</v>
      </c>
      <c r="G89" s="10" t="str">
        <f>IF($E89="","",VLOOKUP($E89,'DS Dự án'!$B:$F,4,FALSE))</f>
        <v>LamBH</v>
      </c>
      <c r="H89" s="10" t="str">
        <f>IF($E89="","",VLOOKUP(E89,'DS Dự án'!$B:$F,5,0))</f>
        <v>Cơ hội</v>
      </c>
      <c r="I89" s="28" t="str">
        <f t="shared" si="50"/>
        <v>vinhpqB_CFC_AUTOMATION_XH</v>
      </c>
      <c r="J89" s="25"/>
      <c r="K89" s="25"/>
      <c r="L89" s="25"/>
      <c r="M89" s="25"/>
      <c r="N89" s="25"/>
      <c r="O89" s="25"/>
      <c r="P89" s="25"/>
      <c r="Q89" s="25"/>
      <c r="R89" s="25"/>
      <c r="S89" s="25"/>
      <c r="T89" s="25"/>
      <c r="U89" s="25"/>
      <c r="V89" s="25"/>
      <c r="W89" s="25">
        <v>0.4</v>
      </c>
      <c r="X89" s="25">
        <v>0.4</v>
      </c>
      <c r="Y89" s="25">
        <v>0.4</v>
      </c>
      <c r="Z89" s="25">
        <v>0.4</v>
      </c>
      <c r="AA89" s="25">
        <v>0.8</v>
      </c>
      <c r="AB89" s="25">
        <v>0.8</v>
      </c>
      <c r="AC89" s="25">
        <v>0.8</v>
      </c>
      <c r="AD89" s="25">
        <v>0.8</v>
      </c>
      <c r="AE89" s="25">
        <v>0.8</v>
      </c>
      <c r="AF89" s="25">
        <v>0.8</v>
      </c>
      <c r="AG89" s="25">
        <v>0.8</v>
      </c>
      <c r="AH89" s="25">
        <v>0.8</v>
      </c>
      <c r="AI89" s="25">
        <v>0.8</v>
      </c>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row>
    <row r="90" spans="1:61">
      <c r="A90" s="13" t="s">
        <v>75</v>
      </c>
      <c r="B90" s="10" t="str">
        <f>IF(A90="","",VLOOKUP(A90,'DS Nhân viên'!B:C,2,FALSE))</f>
        <v>Nguyễn Hoàng Tuấn Anh</v>
      </c>
      <c r="C90" s="10" t="str">
        <f>IF(A90="","",VLOOKUP(A90,'DS Nhân viên'!B:D,3,FALSE))</f>
        <v>P.Nghiệp vụ IBS</v>
      </c>
      <c r="D90" s="11" t="str">
        <f>IF(A90="","",VLOOKUP(A90,'DS Nhân viên'!$B:$F,5,FALSE))</f>
        <v>Chính thức</v>
      </c>
      <c r="E90" s="63" t="s">
        <v>119</v>
      </c>
      <c r="F90" s="12" t="str">
        <f>IF($E90="","",VLOOKUP($E90,'DS Dự án'!$B:$F,2,FALSE))</f>
        <v>BI EVN SPC</v>
      </c>
      <c r="G90" s="10" t="str">
        <f>IF($E90="","",VLOOKUP($E90,'DS Dự án'!$B:$F,4,FALSE))</f>
        <v>AnhNHT</v>
      </c>
      <c r="H90" s="10" t="str">
        <f>IF($E90="","",VLOOKUP(E90,'DS Dự án'!$B:$F,5,0))</f>
        <v>Cơ hội</v>
      </c>
      <c r="I90" s="28" t="str">
        <f t="shared" si="50"/>
        <v>anhnhtBD_EN5_01_00</v>
      </c>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row>
    <row r="91" spans="1:61">
      <c r="A91" s="13" t="s">
        <v>75</v>
      </c>
      <c r="B91" s="10" t="str">
        <f>IF(A91="","",VLOOKUP(A91,'DS Nhân viên'!B:C,2,FALSE))</f>
        <v>Nguyễn Hoàng Tuấn Anh</v>
      </c>
      <c r="C91" s="10" t="str">
        <f>IF(A91="","",VLOOKUP(A91,'DS Nhân viên'!B:D,3,FALSE))</f>
        <v>P.Nghiệp vụ IBS</v>
      </c>
      <c r="D91" s="11" t="str">
        <f>IF(A91="","",VLOOKUP(A91,'DS Nhân viên'!$B:$F,5,FALSE))</f>
        <v>Chính thức</v>
      </c>
      <c r="E91" s="63" t="s">
        <v>106</v>
      </c>
      <c r="F91" s="12" t="str">
        <f>IF($E91="","",VLOOKUP($E91,'DS Dự án'!$B:$F,2,FALSE))</f>
        <v>Presale</v>
      </c>
      <c r="G91" s="10" t="str">
        <f>IF($E91="","",VLOOKUP($E91,'DS Dự án'!$B:$F,4,FALSE))</f>
        <v>HaiDL</v>
      </c>
      <c r="H91" s="10" t="str">
        <f>IF($E91="","",VLOOKUP(E91,'DS Dự án'!$B:$F,5,0))</f>
        <v>Đang thực hiện (Nội bộ)</v>
      </c>
      <c r="I91" s="28" t="str">
        <f t="shared" si="50"/>
        <v>anhnhtPresale</v>
      </c>
      <c r="J91" s="25"/>
      <c r="K91" s="25"/>
      <c r="L91" s="25"/>
      <c r="M91" s="25"/>
      <c r="N91" s="25"/>
      <c r="O91" s="25"/>
      <c r="P91" s="25"/>
      <c r="Q91" s="25"/>
      <c r="R91" s="25">
        <v>0.2</v>
      </c>
      <c r="S91" s="25">
        <v>0.2</v>
      </c>
      <c r="T91" s="25">
        <v>0.2</v>
      </c>
      <c r="U91" s="25">
        <v>0.2</v>
      </c>
      <c r="V91" s="25">
        <v>0.2</v>
      </c>
      <c r="W91" s="25">
        <v>0.1</v>
      </c>
      <c r="X91" s="25">
        <v>0.1</v>
      </c>
      <c r="Y91" s="25">
        <v>0.1</v>
      </c>
      <c r="Z91" s="25">
        <v>0.1</v>
      </c>
      <c r="AA91" s="25">
        <v>0.1</v>
      </c>
      <c r="AB91" s="25">
        <v>0.1</v>
      </c>
      <c r="AC91" s="25">
        <v>0.1</v>
      </c>
      <c r="AD91" s="25">
        <v>0.1</v>
      </c>
      <c r="AE91" s="25">
        <v>0.1</v>
      </c>
      <c r="AF91" s="25">
        <v>0.1</v>
      </c>
      <c r="AG91" s="25">
        <v>0.1</v>
      </c>
      <c r="AH91" s="25">
        <v>0.1</v>
      </c>
      <c r="AI91" s="25">
        <v>0.1</v>
      </c>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row>
    <row r="92" spans="1:61">
      <c r="A92" s="13" t="s">
        <v>75</v>
      </c>
      <c r="B92" s="10" t="str">
        <f>IF(A92="","",VLOOKUP(A92,'DS Nhân viên'!B:C,2,FALSE))</f>
        <v>Nguyễn Hoàng Tuấn Anh</v>
      </c>
      <c r="C92" s="10" t="str">
        <f>IF(A92="","",VLOOKUP(A92,'DS Nhân viên'!B:D,3,FALSE))</f>
        <v>P.Nghiệp vụ IBS</v>
      </c>
      <c r="D92" s="11" t="str">
        <f>IF(A92="","",VLOOKUP(A92,'DS Nhân viên'!$B:$F,5,FALSE))</f>
        <v>Chính thức</v>
      </c>
      <c r="E92" s="63" t="s">
        <v>120</v>
      </c>
      <c r="F92" s="12" t="str">
        <f>IF($E92="","",VLOOKUP($E92,'DS Dự án'!$B:$F,2,FALSE))</f>
        <v>QL</v>
      </c>
      <c r="G92" s="10" t="str">
        <f>IF($E92="","",VLOOKUP($E92,'DS Dự án'!$B:$F,4,FALSE))</f>
        <v>HaiDL</v>
      </c>
      <c r="H92" s="10" t="str">
        <f>IF($E92="","",VLOOKUP(E92,'DS Dự án'!$B:$F,5,0))</f>
        <v>Đang thực hiện (Nội bộ)</v>
      </c>
      <c r="I92" s="28" t="str">
        <f t="shared" si="50"/>
        <v>anhnhtQL</v>
      </c>
      <c r="J92" s="25"/>
      <c r="K92" s="25"/>
      <c r="L92" s="25"/>
      <c r="M92" s="25"/>
      <c r="N92" s="25"/>
      <c r="O92" s="25"/>
      <c r="P92" s="25"/>
      <c r="Q92" s="25"/>
      <c r="R92" s="25">
        <v>0.2</v>
      </c>
      <c r="S92" s="25">
        <v>0.2</v>
      </c>
      <c r="T92" s="25">
        <v>0.2</v>
      </c>
      <c r="U92" s="25">
        <v>0.2</v>
      </c>
      <c r="V92" s="25">
        <v>0.2</v>
      </c>
      <c r="W92" s="25">
        <v>0.1</v>
      </c>
      <c r="X92" s="25">
        <v>0.1</v>
      </c>
      <c r="Y92" s="25">
        <v>0.1</v>
      </c>
      <c r="Z92" s="25">
        <v>0.1</v>
      </c>
      <c r="AA92" s="25">
        <v>0.1</v>
      </c>
      <c r="AB92" s="25">
        <v>0.1</v>
      </c>
      <c r="AC92" s="25">
        <v>0.1</v>
      </c>
      <c r="AD92" s="25">
        <v>0.1</v>
      </c>
      <c r="AE92" s="25">
        <v>0.1</v>
      </c>
      <c r="AF92" s="25">
        <v>0.1</v>
      </c>
      <c r="AG92" s="25">
        <v>0.1</v>
      </c>
      <c r="AH92" s="25">
        <v>0.1</v>
      </c>
      <c r="AI92" s="25">
        <v>0.1</v>
      </c>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row>
    <row r="93" spans="1:61">
      <c r="A93" s="13" t="s">
        <v>86</v>
      </c>
      <c r="B93" s="10" t="str">
        <f>IF(A93="","",VLOOKUP(A93,'DS Nhân viên'!B:C,2,FALSE))</f>
        <v>Nguyễn Lưu Phất</v>
      </c>
      <c r="C93" s="10" t="str">
        <f>IF(A93="","",VLOOKUP(A93,'DS Nhân viên'!B:D,3,FALSE))</f>
        <v>P.Nghiệp vụ IBS</v>
      </c>
      <c r="D93" s="11" t="str">
        <f>IF(A93="","",VLOOKUP(A93,'DS Nhân viên'!$B:$F,5,FALSE))</f>
        <v>Chính thức</v>
      </c>
      <c r="E93" s="63" t="s">
        <v>119</v>
      </c>
      <c r="F93" s="12" t="str">
        <f>IF($E93="","",VLOOKUP($E93,'DS Dự án'!$B:$F,2,FALSE))</f>
        <v>BI EVN SPC</v>
      </c>
      <c r="G93" s="10" t="str">
        <f>IF($E93="","",VLOOKUP($E93,'DS Dự án'!$B:$F,4,FALSE))</f>
        <v>AnhNHT</v>
      </c>
      <c r="H93" s="10" t="str">
        <f>IF($E93="","",VLOOKUP(E93,'DS Dự án'!$B:$F,5,0))</f>
        <v>Cơ hội</v>
      </c>
      <c r="I93" s="28" t="str">
        <f t="shared" ref="I93:I114" si="51">A93&amp;E93</f>
        <v>phatnlBD_EN5_01_00</v>
      </c>
      <c r="J93" s="25">
        <v>0</v>
      </c>
      <c r="K93" s="25">
        <v>0</v>
      </c>
      <c r="L93" s="25">
        <v>0</v>
      </c>
      <c r="M93" s="25">
        <v>0</v>
      </c>
      <c r="N93" s="25">
        <v>0</v>
      </c>
      <c r="O93" s="25">
        <v>0.1</v>
      </c>
      <c r="P93" s="25"/>
      <c r="Q93" s="25">
        <v>0</v>
      </c>
      <c r="R93" s="25">
        <v>0</v>
      </c>
      <c r="S93" s="25">
        <v>0.05</v>
      </c>
      <c r="T93" s="25">
        <v>0</v>
      </c>
      <c r="U93" s="25">
        <v>0.05</v>
      </c>
      <c r="V93" s="25">
        <v>0</v>
      </c>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row>
    <row r="94" spans="1:61">
      <c r="A94" s="13" t="s">
        <v>87</v>
      </c>
      <c r="B94" s="10" t="str">
        <f>IF(A94="","",VLOOKUP(A94,'DS Nhân viên'!B:C,2,FALSE))</f>
        <v>Trần Thị Thanh Huyền</v>
      </c>
      <c r="C94" s="10" t="str">
        <f>IF(A94="","",VLOOKUP(A94,'DS Nhân viên'!B:D,3,FALSE))</f>
        <v>P.Nghiệp vụ IBS</v>
      </c>
      <c r="D94" s="11" t="str">
        <f>IF(A94="","",VLOOKUP(A94,'DS Nhân viên'!$B:$F,5,FALSE))</f>
        <v>Chính thức</v>
      </c>
      <c r="E94" s="63" t="s">
        <v>119</v>
      </c>
      <c r="F94" s="12" t="str">
        <f>IF($E94="","",VLOOKUP($E94,'DS Dự án'!$B:$F,2,FALSE))</f>
        <v>BI EVN SPC</v>
      </c>
      <c r="G94" s="10" t="str">
        <f>IF($E94="","",VLOOKUP($E94,'DS Dự án'!$B:$F,4,FALSE))</f>
        <v>AnhNHT</v>
      </c>
      <c r="H94" s="10" t="str">
        <f>IF($E94="","",VLOOKUP(E94,'DS Dự án'!$B:$F,5,0))</f>
        <v>Cơ hội</v>
      </c>
      <c r="I94" s="28" t="str">
        <f t="shared" si="51"/>
        <v>huyentttBD_EN5_01_00</v>
      </c>
      <c r="J94" s="25">
        <v>0</v>
      </c>
      <c r="K94" s="25">
        <v>0</v>
      </c>
      <c r="L94" s="25">
        <v>0</v>
      </c>
      <c r="M94" s="25">
        <v>0</v>
      </c>
      <c r="N94" s="25">
        <v>0</v>
      </c>
      <c r="O94" s="25">
        <v>0</v>
      </c>
      <c r="P94" s="25"/>
      <c r="Q94" s="25">
        <v>0</v>
      </c>
      <c r="R94" s="25">
        <v>0</v>
      </c>
      <c r="S94" s="25">
        <v>0.05</v>
      </c>
      <c r="T94" s="25">
        <v>0</v>
      </c>
      <c r="U94" s="25">
        <v>0.05</v>
      </c>
      <c r="V94" s="25">
        <v>0</v>
      </c>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row>
    <row r="95" spans="1:61">
      <c r="A95" s="14" t="s">
        <v>97</v>
      </c>
      <c r="B95" s="10" t="str">
        <f>IF(A95="","",VLOOKUP(A95,'DS Nhân viên'!B:C,2,FALSE))</f>
        <v>Nghiêm Thanh Tùng</v>
      </c>
      <c r="C95" s="11" t="s">
        <v>54</v>
      </c>
      <c r="D95" s="11" t="str">
        <f>IF(A95="","",VLOOKUP(A95,'DS Nhân viên'!$B:$F,5,FALSE))</f>
        <v>Chính thức</v>
      </c>
      <c r="E95" s="33" t="s">
        <v>121</v>
      </c>
      <c r="F95" s="12" t="str">
        <f>IF($E95="","",VLOOKUP($E95,'DS Dự án'!$B:$F,2,FALSE))</f>
        <v>B_TDA</v>
      </c>
      <c r="G95" s="10" t="str">
        <f>IF($E95="","",VLOOKUP($E95,'DS Dự án'!$B:$F,4,FALSE))</f>
        <v>LamBH</v>
      </c>
      <c r="H95" s="10" t="str">
        <f>IF($E95="","",VLOOKUP(E95,'DS Dự án'!$B:$F,5,0))</f>
        <v>Bảo hành, Bảo trì</v>
      </c>
      <c r="I95" s="28" t="str">
        <f t="shared" si="51"/>
        <v>tungnt2B_TDA</v>
      </c>
      <c r="J95" s="25"/>
      <c r="K95" s="25"/>
      <c r="L95" s="25"/>
      <c r="M95" s="25"/>
      <c r="N95" s="25"/>
      <c r="O95" s="25"/>
      <c r="P95" s="25"/>
      <c r="Q95" s="25"/>
      <c r="R95" s="25">
        <v>0.02</v>
      </c>
      <c r="S95" s="25">
        <v>0.02</v>
      </c>
      <c r="T95" s="25">
        <v>0.02</v>
      </c>
      <c r="U95" s="25">
        <v>0.02</v>
      </c>
      <c r="V95" s="25">
        <v>0.02</v>
      </c>
      <c r="W95" s="25">
        <v>0.02</v>
      </c>
      <c r="X95" s="25">
        <v>0.02</v>
      </c>
      <c r="Y95" s="25">
        <v>0.02</v>
      </c>
      <c r="Z95" s="25">
        <v>0.02</v>
      </c>
      <c r="AA95" s="25">
        <v>0.02</v>
      </c>
      <c r="AB95" s="25">
        <v>0.02</v>
      </c>
      <c r="AC95" s="25">
        <v>0.02</v>
      </c>
      <c r="AD95" s="25">
        <v>0.02</v>
      </c>
      <c r="AE95" s="25">
        <v>0.02</v>
      </c>
      <c r="AF95" s="25">
        <v>0.02</v>
      </c>
      <c r="AG95" s="25">
        <v>0.02</v>
      </c>
      <c r="AH95" s="25">
        <v>0.02</v>
      </c>
      <c r="AI95" s="25">
        <v>0.02</v>
      </c>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row>
    <row r="96" spans="1:61">
      <c r="A96" s="14" t="s">
        <v>100</v>
      </c>
      <c r="B96" s="10" t="str">
        <f>IF(A96="","",VLOOKUP(A96,'DS Nhân viên'!B:C,2,FALSE))</f>
        <v>Nguyễn Khắc Mạnh</v>
      </c>
      <c r="C96" s="11" t="s">
        <v>54</v>
      </c>
      <c r="D96" s="11" t="str">
        <f>IF(A96="","",VLOOKUP(A96,'DS Nhân viên'!$B:$F,5,FALSE))</f>
        <v>Chính thức</v>
      </c>
      <c r="E96" s="33" t="s">
        <v>121</v>
      </c>
      <c r="F96" s="12" t="str">
        <f>IF($E96="","",VLOOKUP($E96,'DS Dự án'!$B:$F,2,FALSE))</f>
        <v>B_TDA</v>
      </c>
      <c r="G96" s="10" t="str">
        <f>IF($E96="","",VLOOKUP($E96,'DS Dự án'!$B:$F,4,FALSE))</f>
        <v>LamBH</v>
      </c>
      <c r="H96" s="10" t="str">
        <f>IF($E96="","",VLOOKUP(E96,'DS Dự án'!$B:$F,5,0))</f>
        <v>Bảo hành, Bảo trì</v>
      </c>
      <c r="I96" s="28" t="str">
        <f t="shared" si="51"/>
        <v>manhnkB_TDA</v>
      </c>
      <c r="J96" s="25"/>
      <c r="K96" s="25"/>
      <c r="L96" s="25"/>
      <c r="M96" s="25"/>
      <c r="N96" s="25"/>
      <c r="O96" s="25"/>
      <c r="P96" s="25"/>
      <c r="Q96" s="25"/>
      <c r="R96" s="25">
        <v>0.01</v>
      </c>
      <c r="S96" s="25">
        <v>0.01</v>
      </c>
      <c r="T96" s="25">
        <v>0.01</v>
      </c>
      <c r="U96" s="25">
        <v>0.01</v>
      </c>
      <c r="V96" s="25">
        <v>0.01</v>
      </c>
      <c r="W96" s="25">
        <v>0.01</v>
      </c>
      <c r="X96" s="25">
        <v>0.01</v>
      </c>
      <c r="Y96" s="25">
        <v>0.01</v>
      </c>
      <c r="Z96" s="25">
        <v>0.01</v>
      </c>
      <c r="AA96" s="25">
        <v>0.01</v>
      </c>
      <c r="AB96" s="25">
        <v>0.01</v>
      </c>
      <c r="AC96" s="25">
        <v>0.01</v>
      </c>
      <c r="AD96" s="25">
        <v>0.01</v>
      </c>
      <c r="AE96" s="25">
        <v>0.01</v>
      </c>
      <c r="AF96" s="25">
        <v>0.01</v>
      </c>
      <c r="AG96" s="25">
        <v>0.01</v>
      </c>
      <c r="AH96" s="25">
        <v>0.01</v>
      </c>
      <c r="AI96" s="25">
        <v>0.01</v>
      </c>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row>
    <row r="97" spans="1:61">
      <c r="A97" s="13" t="s">
        <v>101</v>
      </c>
      <c r="B97" s="10" t="str">
        <f>IF(A97="","",VLOOKUP(A97,'DS Nhân viên'!B:C,2,FALSE))</f>
        <v>Bùi Hữu Lâm</v>
      </c>
      <c r="C97" s="61" t="str">
        <f>IF(A97="","",VLOOKUP(A97,'DS Nhân viên'!B:D,3,FALSE))</f>
        <v>P.Phát triển phần mềm</v>
      </c>
      <c r="D97" s="61" t="str">
        <f>IF(A97="","",VLOOKUP(A97,'DS Nhân viên'!$B:$F,5,FALSE))</f>
        <v>Chính thức</v>
      </c>
      <c r="E97" s="73" t="s">
        <v>122</v>
      </c>
      <c r="F97" s="12" t="str">
        <f>IF($E97="","",VLOOKUP($E97,'DS Dự án'!$B:$F,2,FALSE))</f>
        <v>RD_MF6_01_00</v>
      </c>
      <c r="G97" s="10" t="str">
        <f>IF($E97="","",VLOOKUP($E97,'DS Dự án'!$B:$F,4,FALSE))</f>
        <v>LamBH</v>
      </c>
      <c r="H97" s="10" t="str">
        <f>IF($E97="","",VLOOKUP(E97,'DS Dự án'!$B:$F,5,0))</f>
        <v>Bảo hành, Bảo trì</v>
      </c>
      <c r="I97" s="28" t="str">
        <f t="shared" si="51"/>
        <v>lambhRD_MF6_01_00</v>
      </c>
      <c r="J97" s="25"/>
      <c r="K97" s="25"/>
      <c r="L97" s="25"/>
      <c r="M97" s="25"/>
      <c r="N97" s="25"/>
      <c r="O97" s="25"/>
      <c r="P97" s="25"/>
      <c r="Q97" s="25"/>
      <c r="R97" s="25">
        <v>0.02</v>
      </c>
      <c r="S97" s="25">
        <v>0.02</v>
      </c>
      <c r="T97" s="25">
        <v>0.02</v>
      </c>
      <c r="U97" s="25">
        <v>0.02</v>
      </c>
      <c r="V97" s="25">
        <v>0.02</v>
      </c>
      <c r="W97" s="25">
        <v>0.02</v>
      </c>
      <c r="X97" s="25">
        <v>0.02</v>
      </c>
      <c r="Y97" s="25">
        <v>0.02</v>
      </c>
      <c r="Z97" s="25">
        <v>0.02</v>
      </c>
      <c r="AA97" s="25">
        <v>0.02</v>
      </c>
      <c r="AB97" s="25">
        <v>0.02</v>
      </c>
      <c r="AC97" s="25">
        <v>0.02</v>
      </c>
      <c r="AD97" s="25">
        <v>0.02</v>
      </c>
      <c r="AE97" s="25">
        <v>0.02</v>
      </c>
      <c r="AF97" s="25">
        <v>0.02</v>
      </c>
      <c r="AG97" s="25">
        <v>0.02</v>
      </c>
      <c r="AH97" s="25">
        <v>0.02</v>
      </c>
      <c r="AI97" s="25">
        <v>0.02</v>
      </c>
      <c r="AJ97" s="25"/>
      <c r="AK97" s="25"/>
      <c r="AL97" s="25"/>
      <c r="AM97" s="25"/>
      <c r="AN97" s="25"/>
      <c r="AO97" s="25"/>
      <c r="AP97" s="25"/>
      <c r="AQ97" s="25"/>
      <c r="AR97" s="25"/>
      <c r="AS97" s="16"/>
      <c r="AT97" s="16"/>
      <c r="AU97" s="16"/>
      <c r="AV97" s="16"/>
      <c r="AW97" s="16"/>
      <c r="AX97" s="16"/>
      <c r="AY97" s="16"/>
      <c r="AZ97" s="16"/>
      <c r="BA97" s="16"/>
      <c r="BB97" s="16"/>
      <c r="BC97" s="16"/>
      <c r="BD97" s="16"/>
      <c r="BE97" s="16"/>
      <c r="BF97" s="16"/>
      <c r="BG97" s="16"/>
      <c r="BH97" s="16"/>
      <c r="BI97" s="16"/>
    </row>
    <row r="98" spans="1:61">
      <c r="A98" s="14" t="s">
        <v>97</v>
      </c>
      <c r="B98" s="10" t="str">
        <f>IF(A98="","",VLOOKUP(A98,'DS Nhân viên'!B:C,2,FALSE))</f>
        <v>Nghiêm Thanh Tùng</v>
      </c>
      <c r="C98" s="11" t="s">
        <v>54</v>
      </c>
      <c r="D98" s="11" t="str">
        <f>IF(A98="","",VLOOKUP(A98,'DS Nhân viên'!$B:$F,5,FALSE))</f>
        <v>Chính thức</v>
      </c>
      <c r="E98" s="78" t="s">
        <v>123</v>
      </c>
      <c r="F98" s="12" t="str">
        <f>IF($E98="","",VLOOKUP($E98,'DS Dự án'!$B:$F,2,FALSE))</f>
        <v>RB_VC2_02_00</v>
      </c>
      <c r="G98" s="10" t="str">
        <f>IF($E98="","",VLOOKUP($E98,'DS Dự án'!$B:$F,4,FALSE))</f>
        <v>LamBH</v>
      </c>
      <c r="H98" s="10" t="str">
        <f>IF($E98="","",VLOOKUP(E98,'DS Dự án'!$B:$F,5,0))</f>
        <v>Bảo hành, Bảo trì</v>
      </c>
      <c r="I98" s="28" t="str">
        <f t="shared" si="51"/>
        <v>tungnt2RB_VC2_02_00</v>
      </c>
      <c r="J98" s="25"/>
      <c r="K98" s="25"/>
      <c r="L98" s="25"/>
      <c r="M98" s="25"/>
      <c r="N98" s="25"/>
      <c r="O98" s="25"/>
      <c r="P98" s="25"/>
      <c r="Q98" s="25"/>
      <c r="R98" s="25">
        <v>0.03</v>
      </c>
      <c r="S98" s="25">
        <v>0.03</v>
      </c>
      <c r="T98" s="25">
        <v>0.03</v>
      </c>
      <c r="U98" s="25">
        <v>0.03</v>
      </c>
      <c r="V98" s="25">
        <v>0.03</v>
      </c>
      <c r="W98" s="25">
        <v>0.03</v>
      </c>
      <c r="X98" s="25">
        <v>0.03</v>
      </c>
      <c r="Y98" s="25">
        <v>0.03</v>
      </c>
      <c r="Z98" s="25">
        <v>0.03</v>
      </c>
      <c r="AA98" s="25">
        <v>0.03</v>
      </c>
      <c r="AB98" s="25">
        <v>0.03</v>
      </c>
      <c r="AC98" s="25">
        <v>0.03</v>
      </c>
      <c r="AD98" s="25">
        <v>0.03</v>
      </c>
      <c r="AE98" s="25">
        <v>0.03</v>
      </c>
      <c r="AF98" s="25">
        <v>0.03</v>
      </c>
      <c r="AG98" s="25">
        <v>0.03</v>
      </c>
      <c r="AH98" s="25">
        <v>0.03</v>
      </c>
      <c r="AI98" s="25">
        <v>0.03</v>
      </c>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row>
    <row r="99" spans="1:61">
      <c r="A99" s="14" t="s">
        <v>99</v>
      </c>
      <c r="B99" s="10" t="str">
        <f>IF(A99="","",VLOOKUP(A99,'DS Nhân viên'!B:C,2,FALSE))</f>
        <v>Nguyễn Văn Diên</v>
      </c>
      <c r="C99" s="11" t="s">
        <v>54</v>
      </c>
      <c r="D99" s="11" t="str">
        <f>IF(A99="","",VLOOKUP(A99,'DS Nhân viên'!$B:$F,5,FALSE))</f>
        <v>Chính thức</v>
      </c>
      <c r="E99" s="73" t="s">
        <v>124</v>
      </c>
      <c r="F99" s="12" t="str">
        <f>IF($E99="","",VLOOKUP($E99,'DS Dự án'!$B:$F,2,FALSE))</f>
        <v>RB_VC1_02_00</v>
      </c>
      <c r="G99" s="10" t="str">
        <f>IF($E99="","",VLOOKUP($E99,'DS Dự án'!$B:$F,4,FALSE))</f>
        <v>LamBH</v>
      </c>
      <c r="H99" s="10" t="str">
        <f>IF($E99="","",VLOOKUP(E99,'DS Dự án'!$B:$F,5,0))</f>
        <v>Bảo hành, Bảo trì</v>
      </c>
      <c r="I99" s="28" t="str">
        <f t="shared" si="51"/>
        <v>diennvRB_VC1_02_00</v>
      </c>
      <c r="J99" s="25"/>
      <c r="K99" s="25"/>
      <c r="L99" s="25"/>
      <c r="M99" s="25"/>
      <c r="N99" s="25"/>
      <c r="O99" s="25"/>
      <c r="P99" s="25"/>
      <c r="Q99" s="25"/>
      <c r="R99" s="25">
        <v>0.01</v>
      </c>
      <c r="S99" s="25">
        <v>0.01</v>
      </c>
      <c r="T99" s="25">
        <v>0.01</v>
      </c>
      <c r="U99" s="25">
        <v>0.01</v>
      </c>
      <c r="V99" s="25">
        <v>0.01</v>
      </c>
      <c r="W99" s="25">
        <v>0.01</v>
      </c>
      <c r="X99" s="25">
        <v>0.01</v>
      </c>
      <c r="Y99" s="25">
        <v>0.01</v>
      </c>
      <c r="Z99" s="25">
        <v>0.01</v>
      </c>
      <c r="AA99" s="25">
        <v>0.01</v>
      </c>
      <c r="AB99" s="25">
        <v>0.01</v>
      </c>
      <c r="AC99" s="25">
        <v>0.01</v>
      </c>
      <c r="AD99" s="25">
        <v>0.01</v>
      </c>
      <c r="AE99" s="25">
        <v>0.01</v>
      </c>
      <c r="AF99" s="25">
        <v>0.01</v>
      </c>
      <c r="AG99" s="25">
        <v>0.01</v>
      </c>
      <c r="AH99" s="25">
        <v>0.01</v>
      </c>
      <c r="AI99" s="25">
        <v>0.01</v>
      </c>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row>
    <row r="100" spans="1:61">
      <c r="A100" s="14" t="s">
        <v>107</v>
      </c>
      <c r="B100" s="10" t="str">
        <f>IF(A100="","",VLOOKUP(A100,'DS Nhân viên'!B:C,2,FALSE))</f>
        <v>Phí Quang Vinh</v>
      </c>
      <c r="C100" s="11" t="s">
        <v>54</v>
      </c>
      <c r="D100" s="11" t="str">
        <f>IF(A100="","",VLOOKUP(A100,'DS Nhân viên'!$B:$F,5,FALSE))</f>
        <v>Thử việc</v>
      </c>
      <c r="E100" s="73" t="s">
        <v>124</v>
      </c>
      <c r="F100" s="12" t="str">
        <f>IF($E100="","",VLOOKUP($E100,'DS Dự án'!$B:$F,2,FALSE))</f>
        <v>RB_VC1_02_00</v>
      </c>
      <c r="G100" s="10" t="str">
        <f>IF($E100="","",VLOOKUP($E100,'DS Dự án'!$B:$F,4,FALSE))</f>
        <v>LamBH</v>
      </c>
      <c r="H100" s="10" t="str">
        <f>IF($E100="","",VLOOKUP(E100,'DS Dự án'!$B:$F,5,0))</f>
        <v>Bảo hành, Bảo trì</v>
      </c>
      <c r="I100" s="28" t="str">
        <f t="shared" si="51"/>
        <v>vinhpqRB_VC1_02_00</v>
      </c>
      <c r="J100" s="25"/>
      <c r="K100" s="25"/>
      <c r="L100" s="25"/>
      <c r="M100" s="25"/>
      <c r="N100" s="25"/>
      <c r="O100" s="25"/>
      <c r="P100" s="25"/>
      <c r="Q100" s="25"/>
      <c r="R100" s="25">
        <v>0.01</v>
      </c>
      <c r="S100" s="25">
        <v>0.01</v>
      </c>
      <c r="T100" s="25">
        <v>0.01</v>
      </c>
      <c r="U100" s="25">
        <v>0.01</v>
      </c>
      <c r="V100" s="25">
        <v>0.01</v>
      </c>
      <c r="W100" s="25">
        <v>0.01</v>
      </c>
      <c r="X100" s="25">
        <v>0.01</v>
      </c>
      <c r="Y100" s="25">
        <v>0.01</v>
      </c>
      <c r="Z100" s="25">
        <v>0.01</v>
      </c>
      <c r="AA100" s="25">
        <v>0.01</v>
      </c>
      <c r="AB100" s="25">
        <v>0.01</v>
      </c>
      <c r="AC100" s="25">
        <v>0.01</v>
      </c>
      <c r="AD100" s="25">
        <v>0.01</v>
      </c>
      <c r="AE100" s="25">
        <v>0.01</v>
      </c>
      <c r="AF100" s="25">
        <v>0.01</v>
      </c>
      <c r="AG100" s="25">
        <v>0.01</v>
      </c>
      <c r="AH100" s="25">
        <v>0.01</v>
      </c>
      <c r="AI100" s="25">
        <v>0.01</v>
      </c>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row>
    <row r="101" spans="1:61">
      <c r="A101" s="14" t="s">
        <v>99</v>
      </c>
      <c r="B101" s="10" t="str">
        <f>IF(A101="","",VLOOKUP(A101,'DS Nhân viên'!B:C,2,FALSE))</f>
        <v>Nguyễn Văn Diên</v>
      </c>
      <c r="C101" s="11" t="s">
        <v>54</v>
      </c>
      <c r="D101" s="11" t="str">
        <f>IF(A101="","",VLOOKUP(A101,'DS Nhân viên'!$B:$F,5,FALSE))</f>
        <v>Chính thức</v>
      </c>
      <c r="E101" s="73" t="s">
        <v>125</v>
      </c>
      <c r="F101" s="12" t="str">
        <f>IF($E101="","",VLOOKUP($E101,'DS Dự án'!$B:$F,2,FALSE))</f>
        <v>RB_VC9_02_00</v>
      </c>
      <c r="G101" s="10" t="str">
        <f>IF($E101="","",VLOOKUP($E101,'DS Dự án'!$B:$F,4,FALSE))</f>
        <v>LamBH</v>
      </c>
      <c r="H101" s="10" t="str">
        <f>IF($E101="","",VLOOKUP(E101,'DS Dự án'!$B:$F,5,0))</f>
        <v>Bảo hành, Bảo trì</v>
      </c>
      <c r="I101" s="28" t="str">
        <f t="shared" si="51"/>
        <v>diennvRB_VC9_02_00</v>
      </c>
      <c r="J101" s="25"/>
      <c r="K101" s="25"/>
      <c r="L101" s="25"/>
      <c r="M101" s="25"/>
      <c r="N101" s="25"/>
      <c r="O101" s="25"/>
      <c r="P101" s="25"/>
      <c r="Q101" s="25"/>
      <c r="R101" s="25">
        <v>0.01</v>
      </c>
      <c r="S101" s="25">
        <v>0.01</v>
      </c>
      <c r="T101" s="25">
        <v>0.01</v>
      </c>
      <c r="U101" s="25">
        <v>0.01</v>
      </c>
      <c r="V101" s="25">
        <v>0.01</v>
      </c>
      <c r="W101" s="25">
        <v>0.01</v>
      </c>
      <c r="X101" s="25">
        <v>0.01</v>
      </c>
      <c r="Y101" s="25">
        <v>0.01</v>
      </c>
      <c r="Z101" s="25">
        <v>0.01</v>
      </c>
      <c r="AA101" s="25">
        <v>0.01</v>
      </c>
      <c r="AB101" s="25">
        <v>0.01</v>
      </c>
      <c r="AC101" s="25">
        <v>0.01</v>
      </c>
      <c r="AD101" s="25">
        <v>0.01</v>
      </c>
      <c r="AE101" s="25">
        <v>0.01</v>
      </c>
      <c r="AF101" s="25">
        <v>0.01</v>
      </c>
      <c r="AG101" s="25">
        <v>0.01</v>
      </c>
      <c r="AH101" s="25">
        <v>0.01</v>
      </c>
      <c r="AI101" s="25">
        <v>0.01</v>
      </c>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row>
    <row r="102" spans="1:61">
      <c r="A102" s="14" t="s">
        <v>107</v>
      </c>
      <c r="B102" s="10" t="str">
        <f>IF(A102="","",VLOOKUP(A102,'DS Nhân viên'!B:C,2,FALSE))</f>
        <v>Phí Quang Vinh</v>
      </c>
      <c r="C102" s="11" t="s">
        <v>54</v>
      </c>
      <c r="D102" s="11" t="str">
        <f>IF(A102="","",VLOOKUP(A102,'DS Nhân viên'!$B:$F,5,FALSE))</f>
        <v>Thử việc</v>
      </c>
      <c r="E102" s="73" t="s">
        <v>125</v>
      </c>
      <c r="F102" s="12" t="str">
        <f>IF($E102="","",VLOOKUP($E102,'DS Dự án'!$B:$F,2,FALSE))</f>
        <v>RB_VC9_02_00</v>
      </c>
      <c r="G102" s="10" t="str">
        <f>IF($E102="","",VLOOKUP($E102,'DS Dự án'!$B:$F,4,FALSE))</f>
        <v>LamBH</v>
      </c>
      <c r="H102" s="10" t="str">
        <f>IF($E102="","",VLOOKUP(E102,'DS Dự án'!$B:$F,5,0))</f>
        <v>Bảo hành, Bảo trì</v>
      </c>
      <c r="I102" s="28" t="str">
        <f t="shared" si="51"/>
        <v>vinhpqRB_VC9_02_00</v>
      </c>
      <c r="J102" s="25"/>
      <c r="K102" s="25"/>
      <c r="L102" s="25"/>
      <c r="M102" s="25"/>
      <c r="N102" s="25"/>
      <c r="O102" s="25"/>
      <c r="P102" s="25"/>
      <c r="Q102" s="25"/>
      <c r="R102" s="25">
        <v>0.01</v>
      </c>
      <c r="S102" s="25">
        <v>0.01</v>
      </c>
      <c r="T102" s="25">
        <v>0.01</v>
      </c>
      <c r="U102" s="25">
        <v>0.01</v>
      </c>
      <c r="V102" s="25">
        <v>0.01</v>
      </c>
      <c r="W102" s="25">
        <v>0.01</v>
      </c>
      <c r="X102" s="25">
        <v>0.01</v>
      </c>
      <c r="Y102" s="25">
        <v>0.01</v>
      </c>
      <c r="Z102" s="25">
        <v>0.01</v>
      </c>
      <c r="AA102" s="25">
        <v>0.01</v>
      </c>
      <c r="AB102" s="25">
        <v>0.01</v>
      </c>
      <c r="AC102" s="25">
        <v>0.01</v>
      </c>
      <c r="AD102" s="25">
        <v>0.01</v>
      </c>
      <c r="AE102" s="25">
        <v>0.01</v>
      </c>
      <c r="AF102" s="25">
        <v>0.01</v>
      </c>
      <c r="AG102" s="25">
        <v>0.01</v>
      </c>
      <c r="AH102" s="25">
        <v>0.01</v>
      </c>
      <c r="AI102" s="25">
        <v>0.01</v>
      </c>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row>
    <row r="103" spans="1:61">
      <c r="A103" s="13" t="s">
        <v>101</v>
      </c>
      <c r="B103" s="10" t="str">
        <f>IF(A103="","",VLOOKUP(A103,'DS Nhân viên'!B:C,2,FALSE))</f>
        <v>Bùi Hữu Lâm</v>
      </c>
      <c r="C103" s="61" t="str">
        <f>IF(A103="","",VLOOKUP(A103,'DS Nhân viên'!B:D,3,FALSE))</f>
        <v>P.Phát triển phần mềm</v>
      </c>
      <c r="D103" s="61" t="str">
        <f>IF(A103="","",VLOOKUP(A103,'DS Nhân viên'!$B:$F,5,FALSE))</f>
        <v>Chính thức</v>
      </c>
      <c r="E103" s="33" t="s">
        <v>126</v>
      </c>
      <c r="F103" s="12" t="str">
        <f>IF($E103="","",VLOOKUP($E103,'DS Dự án'!$B:$F,2,FALSE))</f>
        <v>B_CFC_Websales</v>
      </c>
      <c r="G103" s="10" t="str">
        <f>IF($E103="","",VLOOKUP($E103,'DS Dự án'!$B:$F,4,FALSE))</f>
        <v>LamBH</v>
      </c>
      <c r="H103" s="10" t="str">
        <f>IF($E103="","",VLOOKUP(E103,'DS Dự án'!$B:$F,5,0))</f>
        <v>Bảo hành, Bảo trì</v>
      </c>
      <c r="I103" s="28" t="str">
        <f t="shared" si="51"/>
        <v>lambhB_CFC_Websales</v>
      </c>
      <c r="J103" s="25"/>
      <c r="K103" s="25"/>
      <c r="L103" s="25"/>
      <c r="M103" s="25"/>
      <c r="N103" s="25"/>
      <c r="O103" s="25"/>
      <c r="P103" s="25"/>
      <c r="Q103" s="25"/>
      <c r="R103" s="25">
        <v>0.01</v>
      </c>
      <c r="S103" s="25">
        <v>0.01</v>
      </c>
      <c r="T103" s="25">
        <v>0.01</v>
      </c>
      <c r="U103" s="25">
        <v>0.01</v>
      </c>
      <c r="V103" s="25">
        <v>0.01</v>
      </c>
      <c r="W103" s="25">
        <v>0.01</v>
      </c>
      <c r="X103" s="25">
        <v>0.01</v>
      </c>
      <c r="Y103" s="25">
        <v>0.01</v>
      </c>
      <c r="Z103" s="25">
        <v>0.01</v>
      </c>
      <c r="AA103" s="25">
        <v>0.01</v>
      </c>
      <c r="AB103" s="25">
        <v>0.01</v>
      </c>
      <c r="AC103" s="25">
        <v>0.01</v>
      </c>
      <c r="AD103" s="25">
        <v>0.01</v>
      </c>
      <c r="AE103" s="25">
        <v>0.01</v>
      </c>
      <c r="AF103" s="25">
        <v>0.01</v>
      </c>
      <c r="AG103" s="25">
        <v>0.01</v>
      </c>
      <c r="AH103" s="25">
        <v>0.01</v>
      </c>
      <c r="AI103" s="25">
        <v>0.01</v>
      </c>
      <c r="AJ103" s="25"/>
      <c r="AK103" s="25"/>
      <c r="AL103" s="25"/>
      <c r="AM103" s="25"/>
      <c r="AN103" s="25"/>
      <c r="AO103" s="25"/>
      <c r="AP103" s="25"/>
      <c r="AQ103" s="25"/>
      <c r="AR103" s="25"/>
      <c r="AS103" s="16"/>
      <c r="AT103" s="16"/>
      <c r="AU103" s="16"/>
      <c r="AV103" s="16"/>
      <c r="AW103" s="16"/>
      <c r="AX103" s="16"/>
      <c r="AY103" s="16"/>
      <c r="AZ103" s="16"/>
      <c r="BA103" s="16"/>
      <c r="BB103" s="16"/>
      <c r="BC103" s="16"/>
      <c r="BD103" s="16"/>
      <c r="BE103" s="16"/>
      <c r="BF103" s="16"/>
      <c r="BG103" s="16"/>
      <c r="BH103" s="16"/>
      <c r="BI103" s="16"/>
    </row>
    <row r="104" spans="1:61">
      <c r="A104" s="14" t="s">
        <v>97</v>
      </c>
      <c r="B104" s="10" t="str">
        <f>IF(A104="","",VLOOKUP(A104,'DS Nhân viên'!B:C,2,FALSE))</f>
        <v>Nghiêm Thanh Tùng</v>
      </c>
      <c r="C104" s="11" t="s">
        <v>54</v>
      </c>
      <c r="D104" s="11" t="str">
        <f>IF(A104="","",VLOOKUP(A104,'DS Nhân viên'!$B:$F,5,FALSE))</f>
        <v>Chính thức</v>
      </c>
      <c r="E104" s="33" t="s">
        <v>126</v>
      </c>
      <c r="F104" s="12" t="str">
        <f>IF($E104="","",VLOOKUP($E104,'DS Dự án'!$B:$F,2,FALSE))</f>
        <v>B_CFC_Websales</v>
      </c>
      <c r="G104" s="10" t="str">
        <f>IF($E104="","",VLOOKUP($E104,'DS Dự án'!$B:$F,4,FALSE))</f>
        <v>LamBH</v>
      </c>
      <c r="H104" s="10" t="str">
        <f>IF($E104="","",VLOOKUP(E104,'DS Dự án'!$B:$F,5,0))</f>
        <v>Bảo hành, Bảo trì</v>
      </c>
      <c r="I104" s="28" t="str">
        <f t="shared" si="51"/>
        <v>tungnt2B_CFC_Websales</v>
      </c>
      <c r="J104" s="25"/>
      <c r="K104" s="25"/>
      <c r="L104" s="25"/>
      <c r="M104" s="25"/>
      <c r="N104" s="25"/>
      <c r="O104" s="25"/>
      <c r="P104" s="25"/>
      <c r="Q104" s="25"/>
      <c r="R104" s="25">
        <v>0.01</v>
      </c>
      <c r="S104" s="25">
        <v>0.01</v>
      </c>
      <c r="T104" s="25">
        <v>0.01</v>
      </c>
      <c r="U104" s="25">
        <v>0.01</v>
      </c>
      <c r="V104" s="25">
        <v>0.01</v>
      </c>
      <c r="W104" s="25">
        <v>0.01</v>
      </c>
      <c r="X104" s="25">
        <v>0.01</v>
      </c>
      <c r="Y104" s="25">
        <v>0.01</v>
      </c>
      <c r="Z104" s="25">
        <v>0.01</v>
      </c>
      <c r="AA104" s="25">
        <v>0.01</v>
      </c>
      <c r="AB104" s="25">
        <v>0.01</v>
      </c>
      <c r="AC104" s="25">
        <v>0.01</v>
      </c>
      <c r="AD104" s="25">
        <v>0.01</v>
      </c>
      <c r="AE104" s="25">
        <v>0.01</v>
      </c>
      <c r="AF104" s="25">
        <v>0.01</v>
      </c>
      <c r="AG104" s="25">
        <v>0.01</v>
      </c>
      <c r="AH104" s="25">
        <v>0.01</v>
      </c>
      <c r="AI104" s="25">
        <v>0.01</v>
      </c>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row>
    <row r="105" spans="1:61">
      <c r="A105" s="13" t="s">
        <v>101</v>
      </c>
      <c r="B105" s="10" t="str">
        <f>IF(A105="","",VLOOKUP(A105,'DS Nhân viên'!B:C,2,FALSE))</f>
        <v>Bùi Hữu Lâm</v>
      </c>
      <c r="C105" s="61" t="str">
        <f>IF(A105="","",VLOOKUP(A105,'DS Nhân viên'!B:D,3,FALSE))</f>
        <v>P.Phát triển phần mềm</v>
      </c>
      <c r="D105" s="61" t="str">
        <f>IF(A105="","",VLOOKUP(A105,'DS Nhân viên'!$B:$F,5,FALSE))</f>
        <v>Chính thức</v>
      </c>
      <c r="E105" s="33" t="s">
        <v>127</v>
      </c>
      <c r="F105" s="12" t="str">
        <f>IF($E105="","",VLOOKUP($E105,'DS Dự án'!$B:$F,2,FALSE))</f>
        <v>B_TTG_Websales</v>
      </c>
      <c r="G105" s="10" t="str">
        <f>IF($E105="","",VLOOKUP($E105,'DS Dự án'!$B:$F,4,FALSE))</f>
        <v>LamBH</v>
      </c>
      <c r="H105" s="10" t="str">
        <f>IF($E105="","",VLOOKUP(E105,'DS Dự án'!$B:$F,5,0))</f>
        <v>Bảo hành, Bảo trì</v>
      </c>
      <c r="I105" s="28" t="str">
        <f t="shared" si="51"/>
        <v>lambhB_TTG_Websales</v>
      </c>
      <c r="J105" s="25"/>
      <c r="K105" s="25"/>
      <c r="L105" s="25"/>
      <c r="M105" s="25"/>
      <c r="N105" s="25"/>
      <c r="O105" s="25"/>
      <c r="P105" s="25"/>
      <c r="Q105" s="25"/>
      <c r="R105" s="25">
        <v>0.01</v>
      </c>
      <c r="S105" s="25">
        <v>0.01</v>
      </c>
      <c r="T105" s="25">
        <v>0.01</v>
      </c>
      <c r="U105" s="25">
        <v>0.01</v>
      </c>
      <c r="V105" s="25">
        <v>0.01</v>
      </c>
      <c r="W105" s="25">
        <v>0.01</v>
      </c>
      <c r="X105" s="25">
        <v>0.01</v>
      </c>
      <c r="Y105" s="25">
        <v>0.01</v>
      </c>
      <c r="Z105" s="25">
        <v>0.01</v>
      </c>
      <c r="AA105" s="25">
        <v>0.01</v>
      </c>
      <c r="AB105" s="25">
        <v>0.01</v>
      </c>
      <c r="AC105" s="25">
        <v>0.01</v>
      </c>
      <c r="AD105" s="25">
        <v>0.01</v>
      </c>
      <c r="AE105" s="25">
        <v>0.01</v>
      </c>
      <c r="AF105" s="25">
        <v>0.01</v>
      </c>
      <c r="AG105" s="25">
        <v>0.01</v>
      </c>
      <c r="AH105" s="25">
        <v>0.01</v>
      </c>
      <c r="AI105" s="25">
        <v>0.01</v>
      </c>
      <c r="AJ105" s="25"/>
      <c r="AK105" s="25"/>
      <c r="AL105" s="25"/>
      <c r="AM105" s="25"/>
      <c r="AN105" s="25"/>
      <c r="AO105" s="25"/>
      <c r="AP105" s="25"/>
      <c r="AQ105" s="25"/>
      <c r="AR105" s="25"/>
      <c r="AS105" s="16"/>
      <c r="AT105" s="16"/>
      <c r="AU105" s="16"/>
      <c r="AV105" s="16"/>
      <c r="AW105" s="16"/>
      <c r="AX105" s="16"/>
      <c r="AY105" s="16"/>
      <c r="AZ105" s="16"/>
      <c r="BA105" s="16"/>
      <c r="BB105" s="16"/>
      <c r="BC105" s="16"/>
      <c r="BD105" s="16"/>
      <c r="BE105" s="16"/>
      <c r="BF105" s="16"/>
      <c r="BG105" s="16"/>
      <c r="BH105" s="16"/>
      <c r="BI105" s="16"/>
    </row>
    <row r="106" spans="1:61">
      <c r="A106" s="14" t="s">
        <v>97</v>
      </c>
      <c r="B106" s="10" t="str">
        <f>IF(A106="","",VLOOKUP(A106,'DS Nhân viên'!B:C,2,FALSE))</f>
        <v>Nghiêm Thanh Tùng</v>
      </c>
      <c r="C106" s="11" t="s">
        <v>54</v>
      </c>
      <c r="D106" s="11" t="str">
        <f>IF(A106="","",VLOOKUP(A106,'DS Nhân viên'!$B:$F,5,FALSE))</f>
        <v>Chính thức</v>
      </c>
      <c r="E106" s="33" t="s">
        <v>127</v>
      </c>
      <c r="F106" s="12" t="str">
        <f>IF($E106="","",VLOOKUP($E106,'DS Dự án'!$B:$F,2,FALSE))</f>
        <v>B_TTG_Websales</v>
      </c>
      <c r="G106" s="10" t="str">
        <f>IF($E106="","",VLOOKUP($E106,'DS Dự án'!$B:$F,4,FALSE))</f>
        <v>LamBH</v>
      </c>
      <c r="H106" s="10" t="str">
        <f>IF($E106="","",VLOOKUP(E106,'DS Dự án'!$B:$F,5,0))</f>
        <v>Bảo hành, Bảo trì</v>
      </c>
      <c r="I106" s="28" t="str">
        <f t="shared" si="51"/>
        <v>tungnt2B_TTG_Websales</v>
      </c>
      <c r="J106" s="25"/>
      <c r="K106" s="25"/>
      <c r="L106" s="25"/>
      <c r="M106" s="25"/>
      <c r="N106" s="25"/>
      <c r="O106" s="25"/>
      <c r="P106" s="25"/>
      <c r="Q106" s="25"/>
      <c r="R106" s="25">
        <v>0.01</v>
      </c>
      <c r="S106" s="25">
        <v>0.01</v>
      </c>
      <c r="T106" s="25">
        <v>0.01</v>
      </c>
      <c r="U106" s="25">
        <v>0.01</v>
      </c>
      <c r="V106" s="25">
        <v>0.01</v>
      </c>
      <c r="W106" s="25">
        <v>0.01</v>
      </c>
      <c r="X106" s="25">
        <v>0.01</v>
      </c>
      <c r="Y106" s="25">
        <v>0.01</v>
      </c>
      <c r="Z106" s="25">
        <v>0.01</v>
      </c>
      <c r="AA106" s="25">
        <v>0.01</v>
      </c>
      <c r="AB106" s="25">
        <v>0.01</v>
      </c>
      <c r="AC106" s="25">
        <v>0.01</v>
      </c>
      <c r="AD106" s="25">
        <v>0.01</v>
      </c>
      <c r="AE106" s="25">
        <v>0.01</v>
      </c>
      <c r="AF106" s="25">
        <v>0.01</v>
      </c>
      <c r="AG106" s="25">
        <v>0.01</v>
      </c>
      <c r="AH106" s="25">
        <v>0.01</v>
      </c>
      <c r="AI106" s="25">
        <v>0.01</v>
      </c>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row>
    <row r="107" spans="1:61">
      <c r="A107" s="14" t="s">
        <v>109</v>
      </c>
      <c r="B107" s="10" t="str">
        <f>IF(A107="","",VLOOKUP(A107,'DS Nhân viên'!B:C,2,FALSE))</f>
        <v>Vương Duy Long</v>
      </c>
      <c r="C107" s="11" t="str">
        <f>IF(A107="","",VLOOKUP(A107,'DS Nhân viên'!B:D,3,FALSE))</f>
        <v>P.Phát triển phần mềm</v>
      </c>
      <c r="D107" s="11" t="str">
        <f>IF(A107="","",VLOOKUP(A107,'DS Nhân viên'!$B:$F,5,FALSE))</f>
        <v>Thử việc</v>
      </c>
      <c r="E107" s="33" t="s">
        <v>127</v>
      </c>
      <c r="F107" s="12" t="str">
        <f>IF($E107="","",VLOOKUP($E107,'DS Dự án'!$B:$F,2,FALSE))</f>
        <v>B_TTG_Websales</v>
      </c>
      <c r="G107" s="10" t="str">
        <f>IF($E107="","",VLOOKUP($E107,'DS Dự án'!$B:$F,4,FALSE))</f>
        <v>LamBH</v>
      </c>
      <c r="H107" s="10" t="str">
        <f>IF($E107="","",VLOOKUP(E107,'DS Dự án'!$B:$F,5,0))</f>
        <v>Bảo hành, Bảo trì</v>
      </c>
      <c r="I107" s="28" t="str">
        <f t="shared" si="51"/>
        <v>longvdB_TTG_Websales</v>
      </c>
      <c r="J107" s="25"/>
      <c r="K107" s="25"/>
      <c r="L107" s="25"/>
      <c r="M107" s="25"/>
      <c r="N107" s="25"/>
      <c r="O107" s="25"/>
      <c r="P107" s="25"/>
      <c r="Q107" s="25"/>
      <c r="R107" s="25">
        <v>0.01</v>
      </c>
      <c r="S107" s="25">
        <v>0.01</v>
      </c>
      <c r="T107" s="25">
        <v>0.01</v>
      </c>
      <c r="U107" s="25">
        <v>0.01</v>
      </c>
      <c r="V107" s="25">
        <v>0.01</v>
      </c>
      <c r="W107" s="25">
        <v>0.01</v>
      </c>
      <c r="X107" s="25">
        <v>0.01</v>
      </c>
      <c r="Y107" s="25">
        <v>0.01</v>
      </c>
      <c r="Z107" s="25">
        <v>0.01</v>
      </c>
      <c r="AA107" s="25">
        <v>0.01</v>
      </c>
      <c r="AB107" s="25">
        <v>0.01</v>
      </c>
      <c r="AC107" s="25">
        <v>0.01</v>
      </c>
      <c r="AD107" s="25">
        <v>0.01</v>
      </c>
      <c r="AE107" s="25">
        <v>0.01</v>
      </c>
      <c r="AF107" s="25">
        <v>0.01</v>
      </c>
      <c r="AG107" s="25">
        <v>0.01</v>
      </c>
      <c r="AH107" s="25">
        <v>0.01</v>
      </c>
      <c r="AI107" s="25">
        <v>0.01</v>
      </c>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row>
    <row r="108" spans="1:61">
      <c r="A108" s="14" t="s">
        <v>100</v>
      </c>
      <c r="B108" s="10" t="str">
        <f>IF(A108="","",VLOOKUP(A108,'DS Nhân viên'!B:C,2,FALSE))</f>
        <v>Nguyễn Khắc Mạnh</v>
      </c>
      <c r="C108" s="11" t="s">
        <v>54</v>
      </c>
      <c r="D108" s="11" t="str">
        <f>IF(A108="","",VLOOKUP(A108,'DS Nhân viên'!$B:$F,5,FALSE))</f>
        <v>Chính thức</v>
      </c>
      <c r="E108" s="33" t="s">
        <v>127</v>
      </c>
      <c r="F108" s="12" t="str">
        <f>IF($E108="","",VLOOKUP($E108,'DS Dự án'!$B:$F,2,FALSE))</f>
        <v>B_TTG_Websales</v>
      </c>
      <c r="G108" s="10" t="str">
        <f>IF($E108="","",VLOOKUP($E108,'DS Dự án'!$B:$F,4,FALSE))</f>
        <v>LamBH</v>
      </c>
      <c r="H108" s="10" t="str">
        <f>IF($E108="","",VLOOKUP(E108,'DS Dự án'!$B:$F,5,0))</f>
        <v>Bảo hành, Bảo trì</v>
      </c>
      <c r="I108" s="28" t="str">
        <f t="shared" si="51"/>
        <v>manhnkB_TTG_Websales</v>
      </c>
      <c r="J108" s="25"/>
      <c r="K108" s="25"/>
      <c r="L108" s="25"/>
      <c r="M108" s="25"/>
      <c r="N108" s="25"/>
      <c r="O108" s="25"/>
      <c r="P108" s="25"/>
      <c r="Q108" s="25"/>
      <c r="R108" s="25">
        <v>0.01</v>
      </c>
      <c r="S108" s="25">
        <v>0.01</v>
      </c>
      <c r="T108" s="25">
        <v>0.01</v>
      </c>
      <c r="U108" s="25">
        <v>0.01</v>
      </c>
      <c r="V108" s="25">
        <v>0.01</v>
      </c>
      <c r="W108" s="25">
        <v>0.01</v>
      </c>
      <c r="X108" s="25">
        <v>0.01</v>
      </c>
      <c r="Y108" s="25">
        <v>0.01</v>
      </c>
      <c r="Z108" s="25">
        <v>0.01</v>
      </c>
      <c r="AA108" s="25">
        <v>0.01</v>
      </c>
      <c r="AB108" s="25">
        <v>0.01</v>
      </c>
      <c r="AC108" s="25">
        <v>0.01</v>
      </c>
      <c r="AD108" s="25">
        <v>0.01</v>
      </c>
      <c r="AE108" s="25">
        <v>0.01</v>
      </c>
      <c r="AF108" s="25">
        <v>0.01</v>
      </c>
      <c r="AG108" s="25">
        <v>0.01</v>
      </c>
      <c r="AH108" s="25">
        <v>0.01</v>
      </c>
      <c r="AI108" s="25">
        <v>0.01</v>
      </c>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row>
    <row r="109" spans="1:61">
      <c r="A109" s="14" t="s">
        <v>97</v>
      </c>
      <c r="B109" s="10" t="str">
        <f>IF(A109="","",VLOOKUP(A109,'DS Nhân viên'!B:C,2,FALSE))</f>
        <v>Nghiêm Thanh Tùng</v>
      </c>
      <c r="C109" s="11" t="s">
        <v>54</v>
      </c>
      <c r="D109" s="11" t="str">
        <f>IF(A109="","",VLOOKUP(A109,'DS Nhân viên'!$B:$F,5,FALSE))</f>
        <v>Chính thức</v>
      </c>
      <c r="E109" s="33" t="s">
        <v>128</v>
      </c>
      <c r="F109" s="12" t="str">
        <f>IF($E109="","",VLOOKUP($E109,'DS Dự án'!$B:$F,2,FALSE))</f>
        <v>B_Can_Oristar</v>
      </c>
      <c r="G109" s="10" t="str">
        <f>IF($E109="","",VLOOKUP($E109,'DS Dự án'!$B:$F,4,FALSE))</f>
        <v>LamBH</v>
      </c>
      <c r="H109" s="10" t="str">
        <f>IF($E109="","",VLOOKUP(E109,'DS Dự án'!$B:$F,5,0))</f>
        <v>Bảo hành, Bảo trì</v>
      </c>
      <c r="I109" s="28" t="str">
        <f t="shared" si="51"/>
        <v>tungnt2B_Can_Oristar</v>
      </c>
      <c r="J109" s="25"/>
      <c r="K109" s="25"/>
      <c r="L109" s="25"/>
      <c r="M109" s="25"/>
      <c r="N109" s="25"/>
      <c r="O109" s="25"/>
      <c r="P109" s="25"/>
      <c r="Q109" s="25"/>
      <c r="R109" s="25">
        <v>0.01</v>
      </c>
      <c r="S109" s="25">
        <v>0.01</v>
      </c>
      <c r="T109" s="25">
        <v>0.01</v>
      </c>
      <c r="U109" s="25">
        <v>0.01</v>
      </c>
      <c r="V109" s="25">
        <v>0.01</v>
      </c>
      <c r="W109" s="25">
        <v>0.01</v>
      </c>
      <c r="X109" s="25">
        <v>0.01</v>
      </c>
      <c r="Y109" s="25">
        <v>0.01</v>
      </c>
      <c r="Z109" s="25">
        <v>0.01</v>
      </c>
      <c r="AA109" s="25">
        <v>0.01</v>
      </c>
      <c r="AB109" s="25">
        <v>0.01</v>
      </c>
      <c r="AC109" s="25">
        <v>0.01</v>
      </c>
      <c r="AD109" s="25">
        <v>0.01</v>
      </c>
      <c r="AE109" s="25">
        <v>0.01</v>
      </c>
      <c r="AF109" s="25">
        <v>0.01</v>
      </c>
      <c r="AG109" s="25">
        <v>0.01</v>
      </c>
      <c r="AH109" s="25">
        <v>0.01</v>
      </c>
      <c r="AI109" s="25">
        <v>0.01</v>
      </c>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row>
    <row r="110" spans="1:61">
      <c r="A110" s="13" t="s">
        <v>101</v>
      </c>
      <c r="B110" s="10" t="str">
        <f>IF(A110="","",VLOOKUP(A110,'DS Nhân viên'!B:C,2,FALSE))</f>
        <v>Bùi Hữu Lâm</v>
      </c>
      <c r="C110" s="61" t="str">
        <f>IF(A110="","",VLOOKUP(A110,'DS Nhân viên'!B:D,3,FALSE))</f>
        <v>P.Phát triển phần mềm</v>
      </c>
      <c r="D110" s="61" t="str">
        <f>IF(A110="","",VLOOKUP(A110,'DS Nhân viên'!$B:$F,5,FALSE))</f>
        <v>Chính thức</v>
      </c>
      <c r="E110" s="33" t="s">
        <v>129</v>
      </c>
      <c r="F110" s="12" t="str">
        <f>IF($E110="","",VLOOKUP($E110,'DS Dự án'!$B:$F,2,FALSE))</f>
        <v>B_XHTD_HP</v>
      </c>
      <c r="G110" s="10" t="str">
        <f>IF($E110="","",VLOOKUP($E110,'DS Dự án'!$B:$F,4,FALSE))</f>
        <v>LamBH</v>
      </c>
      <c r="H110" s="10" t="str">
        <f>IF($E110="","",VLOOKUP(E110,'DS Dự án'!$B:$F,5,0))</f>
        <v>Bảo hành, Bảo trì</v>
      </c>
      <c r="I110" s="28" t="str">
        <f t="shared" si="51"/>
        <v>lambhB_XHTD_HP</v>
      </c>
      <c r="J110" s="25"/>
      <c r="K110" s="25"/>
      <c r="L110" s="25"/>
      <c r="M110" s="25"/>
      <c r="N110" s="25"/>
      <c r="O110" s="25"/>
      <c r="P110" s="25"/>
      <c r="Q110" s="25"/>
      <c r="R110" s="25">
        <v>0.01</v>
      </c>
      <c r="S110" s="25">
        <v>0.01</v>
      </c>
      <c r="T110" s="25">
        <v>0.01</v>
      </c>
      <c r="U110" s="25">
        <v>0.01</v>
      </c>
      <c r="V110" s="25">
        <v>0.01</v>
      </c>
      <c r="W110" s="25">
        <v>0.01</v>
      </c>
      <c r="X110" s="25">
        <v>0.01</v>
      </c>
      <c r="Y110" s="25">
        <v>0.01</v>
      </c>
      <c r="Z110" s="25">
        <v>0.01</v>
      </c>
      <c r="AA110" s="25">
        <v>0.01</v>
      </c>
      <c r="AB110" s="25">
        <v>0.01</v>
      </c>
      <c r="AC110" s="25">
        <v>0.01</v>
      </c>
      <c r="AD110" s="25">
        <v>0.01</v>
      </c>
      <c r="AE110" s="25">
        <v>0.01</v>
      </c>
      <c r="AF110" s="25">
        <v>0.01</v>
      </c>
      <c r="AG110" s="25">
        <v>0.01</v>
      </c>
      <c r="AH110" s="25">
        <v>0.01</v>
      </c>
      <c r="AI110" s="25">
        <v>0.01</v>
      </c>
      <c r="AJ110" s="25"/>
      <c r="AK110" s="25"/>
      <c r="AL110" s="25"/>
      <c r="AM110" s="25"/>
      <c r="AN110" s="25"/>
      <c r="AO110" s="25"/>
      <c r="AP110" s="25"/>
      <c r="AQ110" s="25"/>
      <c r="AR110" s="25"/>
      <c r="AS110" s="16"/>
      <c r="AT110" s="16"/>
      <c r="AU110" s="16"/>
      <c r="AV110" s="16"/>
      <c r="AW110" s="16"/>
      <c r="AX110" s="16"/>
      <c r="AY110" s="16"/>
      <c r="AZ110" s="16"/>
      <c r="BA110" s="16"/>
      <c r="BB110" s="16"/>
      <c r="BC110" s="16"/>
      <c r="BD110" s="16"/>
      <c r="BE110" s="16"/>
      <c r="BF110" s="16"/>
      <c r="BG110" s="16"/>
      <c r="BH110" s="16"/>
      <c r="BI110" s="16"/>
    </row>
    <row r="111" spans="1:61">
      <c r="A111" s="14" t="s">
        <v>97</v>
      </c>
      <c r="B111" s="10" t="str">
        <f>IF(A111="","",VLOOKUP(A111,'DS Nhân viên'!B:C,2,FALSE))</f>
        <v>Nghiêm Thanh Tùng</v>
      </c>
      <c r="C111" s="11" t="s">
        <v>54</v>
      </c>
      <c r="D111" s="11" t="str">
        <f>IF(A111="","",VLOOKUP(A111,'DS Nhân viên'!$B:$F,5,FALSE))</f>
        <v>Chính thức</v>
      </c>
      <c r="E111" s="33" t="s">
        <v>129</v>
      </c>
      <c r="F111" s="12" t="str">
        <f>IF($E111="","",VLOOKUP($E111,'DS Dự án'!$B:$F,2,FALSE))</f>
        <v>B_XHTD_HP</v>
      </c>
      <c r="G111" s="10" t="str">
        <f>IF($E111="","",VLOOKUP($E111,'DS Dự án'!$B:$F,4,FALSE))</f>
        <v>LamBH</v>
      </c>
      <c r="H111" s="10" t="str">
        <f>IF($E111="","",VLOOKUP(E111,'DS Dự án'!$B:$F,5,0))</f>
        <v>Bảo hành, Bảo trì</v>
      </c>
      <c r="I111" s="28" t="str">
        <f t="shared" si="51"/>
        <v>tungnt2B_XHTD_HP</v>
      </c>
      <c r="J111" s="25"/>
      <c r="K111" s="25"/>
      <c r="L111" s="25"/>
      <c r="M111" s="25"/>
      <c r="N111" s="25"/>
      <c r="O111" s="25"/>
      <c r="P111" s="25"/>
      <c r="Q111" s="25"/>
      <c r="R111" s="25">
        <v>0.03</v>
      </c>
      <c r="S111" s="25">
        <v>0.03</v>
      </c>
      <c r="T111" s="25">
        <v>0.03</v>
      </c>
      <c r="U111" s="25">
        <v>0.03</v>
      </c>
      <c r="V111" s="25">
        <v>0.03</v>
      </c>
      <c r="W111" s="25">
        <v>0.03</v>
      </c>
      <c r="X111" s="25">
        <v>0.03</v>
      </c>
      <c r="Y111" s="25">
        <v>0.03</v>
      </c>
      <c r="Z111" s="25">
        <v>0.03</v>
      </c>
      <c r="AA111" s="25">
        <v>0.03</v>
      </c>
      <c r="AB111" s="25">
        <v>0.03</v>
      </c>
      <c r="AC111" s="25">
        <v>0.03</v>
      </c>
      <c r="AD111" s="25">
        <v>0.03</v>
      </c>
      <c r="AE111" s="25">
        <v>0.03</v>
      </c>
      <c r="AF111" s="25">
        <v>0.03</v>
      </c>
      <c r="AG111" s="25">
        <v>0.03</v>
      </c>
      <c r="AH111" s="25">
        <v>0.03</v>
      </c>
      <c r="AI111" s="25">
        <v>0.03</v>
      </c>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row>
    <row r="112" spans="1:61" s="1" customFormat="1">
      <c r="A112" s="13" t="s">
        <v>67</v>
      </c>
      <c r="B112" s="10" t="str">
        <f>IF(A112="","",VLOOKUP(A112,'DS Nhân viên'!B:C,2,FALSE))</f>
        <v>Trịnh Ngọc Tâm</v>
      </c>
      <c r="C112" s="11" t="str">
        <f>IF(A112="","",VLOOKUP(A112,'DS Nhân viên'!B:D,3,FALSE))</f>
        <v>P.Kỹ thuật IBS</v>
      </c>
      <c r="D112" s="11" t="str">
        <f>IF(A112="","",VLOOKUP(A112,'DS Nhân viên'!$B:$F,5,FALSE))</f>
        <v>Chính thức</v>
      </c>
      <c r="E112" s="66" t="s">
        <v>102</v>
      </c>
      <c r="F112" s="12" t="str">
        <f>IF($E112="","",VLOOKUP($E112,'DS Dự án'!$B:$F,2,FALSE))</f>
        <v>MB AUTO QA GD2</v>
      </c>
      <c r="G112" s="10" t="str">
        <f>IF($E112="","",VLOOKUP($E112,'DS Dự án'!$B:$F,4,FALSE))</f>
        <v>NgocDH</v>
      </c>
      <c r="H112" s="10" t="str">
        <f>IF($E112="","",VLOOKUP(E112,'DS Dự án'!$B:$F,5,0))</f>
        <v>Đang thực hiện (Chưa có hợp đồng)</v>
      </c>
      <c r="I112" s="28" t="str">
        <f t="shared" si="51"/>
        <v>tamtnCD_MB0_01_00</v>
      </c>
      <c r="J112" s="25"/>
      <c r="K112" s="25"/>
      <c r="L112" s="25"/>
      <c r="M112" s="25"/>
      <c r="N112" s="25"/>
      <c r="O112" s="25"/>
      <c r="P112" s="25"/>
      <c r="Q112" s="25"/>
      <c r="R112" s="25">
        <v>0.6</v>
      </c>
      <c r="S112" s="25">
        <v>0.6</v>
      </c>
      <c r="T112" s="25">
        <v>0.6</v>
      </c>
      <c r="U112" s="25">
        <v>0.6</v>
      </c>
      <c r="V112" s="25">
        <v>0.6</v>
      </c>
      <c r="W112" s="25">
        <v>0.6</v>
      </c>
      <c r="X112" s="25">
        <v>0.6</v>
      </c>
      <c r="Y112" s="25">
        <v>0.6</v>
      </c>
      <c r="Z112" s="25">
        <v>0.6</v>
      </c>
      <c r="AA112" s="25">
        <v>0.6</v>
      </c>
      <c r="AB112" s="25">
        <v>0.6</v>
      </c>
      <c r="AC112" s="25">
        <v>0.6</v>
      </c>
      <c r="AD112" s="25">
        <v>0.6</v>
      </c>
      <c r="AE112" s="25">
        <v>0.6</v>
      </c>
      <c r="AF112" s="25">
        <v>0.6</v>
      </c>
      <c r="AG112" s="25">
        <v>0.6</v>
      </c>
      <c r="AH112" s="25">
        <v>0.6</v>
      </c>
      <c r="AI112" s="25">
        <v>0.6</v>
      </c>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row>
    <row r="113" spans="1:61" s="1" customFormat="1">
      <c r="A113" s="13" t="s">
        <v>80</v>
      </c>
      <c r="B113" s="10" t="str">
        <f>IF(A113="","",VLOOKUP(A113,'DS Nhân viên'!B:C,2,FALSE))</f>
        <v>Đinh Đức Minh</v>
      </c>
      <c r="C113" s="11" t="str">
        <f>IF(A113="","",VLOOKUP(A113,'DS Nhân viên'!B:D,3,FALSE))</f>
        <v>P.Nghiệp vụ IBS</v>
      </c>
      <c r="D113" s="11" t="str">
        <f>IF(A113="","",VLOOKUP(A113,'DS Nhân viên'!$B:$F,5,FALSE))</f>
        <v>Chính thức</v>
      </c>
      <c r="E113" s="66" t="s">
        <v>102</v>
      </c>
      <c r="F113" s="12" t="str">
        <f>IF($E113="","",VLOOKUP($E113,'DS Dự án'!$B:$F,2,FALSE))</f>
        <v>MB AUTO QA GD2</v>
      </c>
      <c r="G113" s="10" t="str">
        <f>IF($E113="","",VLOOKUP($E113,'DS Dự án'!$B:$F,4,FALSE))</f>
        <v>NgocDH</v>
      </c>
      <c r="H113" s="10" t="str">
        <f>IF($E113="","",VLOOKUP(E113,'DS Dự án'!$B:$F,5,0))</f>
        <v>Đang thực hiện (Chưa có hợp đồng)</v>
      </c>
      <c r="I113" s="28" t="str">
        <f t="shared" si="51"/>
        <v>minhddCD_MB0_01_00</v>
      </c>
      <c r="J113" s="25"/>
      <c r="K113" s="25"/>
      <c r="L113" s="25"/>
      <c r="M113" s="25"/>
      <c r="N113" s="25"/>
      <c r="O113" s="25"/>
      <c r="P113" s="25"/>
      <c r="Q113" s="25"/>
      <c r="R113" s="25"/>
      <c r="S113" s="25">
        <v>0.5</v>
      </c>
      <c r="T113" s="25">
        <v>1</v>
      </c>
      <c r="U113" s="25">
        <v>1</v>
      </c>
      <c r="V113" s="25">
        <v>1</v>
      </c>
      <c r="W113" s="25">
        <v>0.5</v>
      </c>
      <c r="X113" s="25">
        <v>0.5</v>
      </c>
      <c r="Y113" s="25">
        <v>0.5</v>
      </c>
      <c r="Z113" s="25">
        <v>0.5</v>
      </c>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row>
    <row r="114" spans="1:61" s="1" customFormat="1">
      <c r="A114" s="13" t="s">
        <v>71</v>
      </c>
      <c r="B114" s="10" t="str">
        <f>IF(A114="","",VLOOKUP(A114,'DS Nhân viên'!B:C,2,FALSE))</f>
        <v>Lê Chí Công</v>
      </c>
      <c r="C114" s="11" t="str">
        <f>IF(A114="","",VLOOKUP(A114,'DS Nhân viên'!B:D,3,FALSE))</f>
        <v>P.Kỹ thuật IBS</v>
      </c>
      <c r="D114" s="11" t="str">
        <f>IF(A114="","",VLOOKUP(A114,'DS Nhân viên'!$B:$F,5,FALSE))</f>
        <v>Chính thức</v>
      </c>
      <c r="E114" s="33" t="s">
        <v>130</v>
      </c>
      <c r="F114" s="12" t="str">
        <f>IF($E114="","",VLOOKUP($E114,'DS Dự án'!$B:$F,2,FALSE))</f>
        <v>NB AI ONPREM</v>
      </c>
      <c r="G114" s="10" t="str">
        <f>IF($E114="","",VLOOKUP($E114,'DS Dự án'!$B:$F,4,FALSE))</f>
        <v>AnhHT</v>
      </c>
      <c r="H114" s="10" t="str">
        <f>IF($E114="","",VLOOKUP(E114,'DS Dự án'!$B:$F,5,0))</f>
        <v>Đang thực hiện (Nội bộ)</v>
      </c>
      <c r="I114" s="28" t="str">
        <f t="shared" si="51"/>
        <v>conglcNB_AI_Onprem</v>
      </c>
      <c r="J114" s="25"/>
      <c r="K114" s="25"/>
      <c r="L114" s="25"/>
      <c r="M114" s="25"/>
      <c r="N114" s="25"/>
      <c r="O114" s="25"/>
      <c r="P114" s="25"/>
      <c r="Q114" s="25"/>
      <c r="R114" s="25">
        <v>0.3</v>
      </c>
      <c r="S114" s="25">
        <v>0.3</v>
      </c>
      <c r="T114" s="25">
        <v>0.3</v>
      </c>
      <c r="U114" s="25">
        <v>0.3</v>
      </c>
      <c r="V114" s="25">
        <v>0.3</v>
      </c>
      <c r="W114" s="25">
        <v>0.3</v>
      </c>
      <c r="X114" s="25">
        <v>0.3</v>
      </c>
      <c r="Y114" s="25">
        <v>0.3</v>
      </c>
      <c r="Z114" s="25">
        <v>0.3</v>
      </c>
      <c r="AA114" s="25">
        <v>0.3</v>
      </c>
      <c r="AB114" s="25">
        <v>0.3</v>
      </c>
      <c r="AC114" s="25">
        <v>0.3</v>
      </c>
      <c r="AD114" s="25">
        <v>0.3</v>
      </c>
      <c r="AE114" s="25">
        <v>0.3</v>
      </c>
      <c r="AF114" s="25">
        <v>0.3</v>
      </c>
      <c r="AG114" s="25">
        <v>0.3</v>
      </c>
      <c r="AH114" s="25">
        <v>0.3</v>
      </c>
      <c r="AI114" s="25">
        <v>0.3</v>
      </c>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row>
    <row r="115" spans="1:61">
      <c r="A115" s="15" t="s">
        <v>131</v>
      </c>
      <c r="B115" s="16"/>
      <c r="C115" s="60"/>
      <c r="D115" s="60"/>
      <c r="E115" s="60"/>
      <c r="F115" s="17"/>
      <c r="G115" s="16"/>
      <c r="H115" s="16"/>
      <c r="I115" s="16"/>
      <c r="J115" s="18"/>
      <c r="K115" s="18"/>
      <c r="L115" s="18"/>
      <c r="M115" s="18"/>
      <c r="N115" s="19"/>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25"/>
      <c r="AT115" s="25"/>
      <c r="AU115" s="25"/>
      <c r="AV115" s="25"/>
      <c r="AW115" s="25"/>
      <c r="AX115" s="25"/>
      <c r="AY115" s="25"/>
      <c r="AZ115" s="25"/>
      <c r="BA115" s="25"/>
      <c r="BB115" s="25"/>
      <c r="BC115" s="25"/>
      <c r="BD115" s="25"/>
      <c r="BE115" s="25"/>
      <c r="BF115" s="25"/>
      <c r="BG115" s="25"/>
      <c r="BH115" s="25"/>
      <c r="BI115" s="25"/>
    </row>
    <row r="116" spans="1:61">
      <c r="A116" s="13" t="s">
        <v>82</v>
      </c>
      <c r="B116" s="10" t="str">
        <f>IF(A116="","",VLOOKUP(A116,'DS Nhân viên'!B:C,2,FALSE))</f>
        <v>Đỗ Trung Hiếu</v>
      </c>
      <c r="C116" s="11" t="str">
        <f>IF(A116="","",VLOOKUP(A116,'DS Nhân viên'!B:D,3,FALSE))</f>
        <v>P.Kỹ thuật IBS</v>
      </c>
      <c r="D116" s="11" t="str">
        <f>IF(A116="","",VLOOKUP(A116,'DS Nhân viên'!$B:$F,5,FALSE))</f>
        <v>Học việc</v>
      </c>
      <c r="E116" s="64" t="s">
        <v>114</v>
      </c>
      <c r="F116" s="12" t="str">
        <f>IF($E116="","",VLOOKUP($E116,'DS Dự án'!$B:$F,2,FALSE))</f>
        <v>TU VAN SUITE CLOUD</v>
      </c>
      <c r="G116" s="10" t="str">
        <f>IF($E116="","",VLOOKUP($E116,'DS Dự án'!$B:$F,4,FALSE))</f>
        <v>AnhHT</v>
      </c>
      <c r="H116" s="10" t="str">
        <f>IF($E116="","",VLOOKUP(E116,'DS Dự án'!$B:$F,5,0))</f>
        <v>Đang thực hiện (Chưa có hợp đồng)</v>
      </c>
      <c r="I116" s="28" t="str">
        <f>A116&amp;E116</f>
        <v>hieudtBD_SU0_01_00</v>
      </c>
      <c r="J116" s="25"/>
      <c r="K116" s="25"/>
      <c r="L116" s="25"/>
      <c r="M116" s="25"/>
      <c r="N116" s="25"/>
      <c r="O116" s="25"/>
      <c r="P116" s="25"/>
      <c r="Q116" s="25"/>
      <c r="R116" s="25"/>
      <c r="S116" s="25"/>
      <c r="T116" s="25">
        <v>0.3</v>
      </c>
      <c r="U116" s="25">
        <v>0.3</v>
      </c>
      <c r="V116" s="25">
        <v>0.3</v>
      </c>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row>
  </sheetData>
  <autoFilter ref="A1:AR115" xr:uid="{00000000-0001-0000-0000-000000000000}">
    <sortState xmlns:xlrd2="http://schemas.microsoft.com/office/spreadsheetml/2017/richdata2" ref="A2:AR115">
      <sortCondition ref="F1:F115"/>
    </sortState>
  </autoFilter>
  <conditionalFormatting sqref="I1:I1048576">
    <cfRule type="duplicateValues" dxfId="6" priority="18"/>
  </conditionalFormatting>
  <conditionalFormatting sqref="J1:BI87">
    <cfRule type="expression" dxfId="5" priority="20">
      <formula>MONTH(J$1)=MONTH(TODAY())</formula>
    </cfRule>
  </conditionalFormatting>
  <conditionalFormatting sqref="J89:BI96">
    <cfRule type="expression" dxfId="4" priority="13">
      <formula>MONTH(J$1)=MONTH(TODAY())</formula>
    </cfRule>
  </conditionalFormatting>
  <conditionalFormatting sqref="J98:BI102">
    <cfRule type="expression" dxfId="3" priority="8">
      <formula>MONTH(J$1)=MONTH(TODAY())</formula>
    </cfRule>
  </conditionalFormatting>
  <conditionalFormatting sqref="J104:BI104">
    <cfRule type="expression" dxfId="2" priority="12">
      <formula>MONTH(J$1)=MONTH(TODAY())</formula>
    </cfRule>
  </conditionalFormatting>
  <conditionalFormatting sqref="J106:BI109">
    <cfRule type="expression" dxfId="1" priority="6">
      <formula>MONTH(J$1)=MONTH(TODAY())</formula>
    </cfRule>
  </conditionalFormatting>
  <conditionalFormatting sqref="J111:BI116">
    <cfRule type="expression" dxfId="0" priority="1">
      <formula>MONTH(J$1)=MONTH(TODAY())</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87"/>
  <sheetViews>
    <sheetView showGridLines="0" tabSelected="1" zoomScale="125" zoomScaleNormal="125" workbookViewId="0">
      <selection activeCell="H9" sqref="H9"/>
    </sheetView>
  </sheetViews>
  <sheetFormatPr defaultColWidth="8.375" defaultRowHeight="20.100000000000001" customHeight="1"/>
  <cols>
    <col min="1" max="1" width="3.875" style="32" bestFit="1" customWidth="1"/>
    <col min="2" max="2" width="8" style="32" bestFit="1" customWidth="1"/>
    <col min="3" max="3" width="20.5" style="32" customWidth="1"/>
    <col min="4" max="4" width="25.875" style="32" customWidth="1"/>
    <col min="5" max="5" width="17.625" style="32" customWidth="1"/>
    <col min="6" max="6" width="17.5" style="32" bestFit="1" customWidth="1"/>
    <col min="7" max="16384" width="8.375" style="32"/>
  </cols>
  <sheetData>
    <row r="1" spans="1:6" s="46" customFormat="1" ht="20.25" customHeight="1">
      <c r="A1" s="45" t="s">
        <v>132</v>
      </c>
      <c r="B1" s="45" t="s">
        <v>133</v>
      </c>
      <c r="C1" s="45" t="s">
        <v>6</v>
      </c>
      <c r="D1" s="45" t="s">
        <v>134</v>
      </c>
      <c r="E1" s="45" t="s">
        <v>135</v>
      </c>
      <c r="F1" s="45" t="s">
        <v>4</v>
      </c>
    </row>
    <row r="2" spans="1:6" ht="20.25" customHeight="1">
      <c r="A2" s="47">
        <f>IF(B2="","",MAX($A$1,A1)+1)</f>
        <v>1</v>
      </c>
      <c r="B2" s="48" t="s">
        <v>71</v>
      </c>
      <c r="C2" s="48" t="s">
        <v>35</v>
      </c>
      <c r="D2" s="48" t="s">
        <v>33</v>
      </c>
      <c r="E2" s="48" t="s">
        <v>136</v>
      </c>
      <c r="F2" s="48" t="s">
        <v>137</v>
      </c>
    </row>
    <row r="3" spans="1:6" ht="20.100000000000001" customHeight="1">
      <c r="A3" s="47">
        <f t="shared" ref="A3:A46" si="0">IF(B3="","",MAX($A$1,A2)+1)</f>
        <v>2</v>
      </c>
      <c r="B3" s="48" t="s">
        <v>111</v>
      </c>
      <c r="C3" s="48" t="s">
        <v>39</v>
      </c>
      <c r="D3" s="48" t="s">
        <v>33</v>
      </c>
      <c r="E3" s="48" t="s">
        <v>136</v>
      </c>
      <c r="F3" s="48" t="s">
        <v>137</v>
      </c>
    </row>
    <row r="4" spans="1:6" ht="20.100000000000001" customHeight="1">
      <c r="A4" s="47">
        <f t="shared" si="0"/>
        <v>3</v>
      </c>
      <c r="B4" s="48" t="s">
        <v>82</v>
      </c>
      <c r="C4" s="48" t="s">
        <v>34</v>
      </c>
      <c r="D4" s="48" t="s">
        <v>33</v>
      </c>
      <c r="E4" s="48" t="s">
        <v>139</v>
      </c>
      <c r="F4" s="48" t="s">
        <v>140</v>
      </c>
    </row>
    <row r="5" spans="1:6" ht="20.100000000000001" customHeight="1">
      <c r="A5" s="47">
        <f t="shared" si="0"/>
        <v>4</v>
      </c>
      <c r="B5" s="48" t="s">
        <v>74</v>
      </c>
      <c r="C5" s="48" t="s">
        <v>40</v>
      </c>
      <c r="D5" s="48" t="s">
        <v>33</v>
      </c>
      <c r="E5" s="48" t="s">
        <v>139</v>
      </c>
      <c r="F5" s="48" t="s">
        <v>140</v>
      </c>
    </row>
    <row r="6" spans="1:6" ht="20.100000000000001" customHeight="1">
      <c r="A6" s="47">
        <f t="shared" si="0"/>
        <v>5</v>
      </c>
      <c r="B6" s="48" t="s">
        <v>70</v>
      </c>
      <c r="C6" s="48" t="s">
        <v>37</v>
      </c>
      <c r="D6" s="48" t="s">
        <v>33</v>
      </c>
      <c r="E6" s="48" t="s">
        <v>138</v>
      </c>
      <c r="F6" s="48" t="s">
        <v>140</v>
      </c>
    </row>
    <row r="7" spans="1:6" ht="20.100000000000001" customHeight="1">
      <c r="A7" s="47">
        <f t="shared" si="0"/>
        <v>6</v>
      </c>
      <c r="B7" s="48" t="s">
        <v>78</v>
      </c>
      <c r="C7" s="48" t="s">
        <v>38</v>
      </c>
      <c r="D7" s="48" t="s">
        <v>33</v>
      </c>
      <c r="E7" s="48" t="s">
        <v>138</v>
      </c>
      <c r="F7" s="48" t="s">
        <v>137</v>
      </c>
    </row>
    <row r="8" spans="1:6" ht="20.100000000000001" customHeight="1">
      <c r="A8" s="47">
        <f t="shared" si="0"/>
        <v>7</v>
      </c>
      <c r="B8" s="48" t="s">
        <v>91</v>
      </c>
      <c r="C8" s="48" t="s">
        <v>36</v>
      </c>
      <c r="D8" s="48" t="s">
        <v>33</v>
      </c>
      <c r="E8" s="48" t="s">
        <v>138</v>
      </c>
      <c r="F8" s="48" t="s">
        <v>137</v>
      </c>
    </row>
    <row r="9" spans="1:6" ht="20.100000000000001" customHeight="1">
      <c r="A9" s="47">
        <f t="shared" si="0"/>
        <v>8</v>
      </c>
      <c r="B9" s="48" t="s">
        <v>67</v>
      </c>
      <c r="C9" s="48" t="s">
        <v>41</v>
      </c>
      <c r="D9" s="48" t="s">
        <v>33</v>
      </c>
      <c r="E9" s="48" t="s">
        <v>138</v>
      </c>
      <c r="F9" s="48" t="s">
        <v>137</v>
      </c>
    </row>
    <row r="10" spans="1:6" ht="20.100000000000001" customHeight="1">
      <c r="A10" s="47">
        <f t="shared" si="0"/>
        <v>9</v>
      </c>
      <c r="B10" s="48" t="s">
        <v>77</v>
      </c>
      <c r="C10" s="48" t="s">
        <v>47</v>
      </c>
      <c r="D10" s="48" t="s">
        <v>43</v>
      </c>
      <c r="E10" s="48" t="s">
        <v>138</v>
      </c>
      <c r="F10" s="48" t="s">
        <v>137</v>
      </c>
    </row>
    <row r="11" spans="1:6" ht="20.100000000000001" customHeight="1">
      <c r="A11" s="47">
        <f t="shared" si="0"/>
        <v>10</v>
      </c>
      <c r="B11" s="48" t="s">
        <v>75</v>
      </c>
      <c r="C11" s="48" t="s">
        <v>48</v>
      </c>
      <c r="D11" s="48" t="s">
        <v>43</v>
      </c>
      <c r="E11" s="48" t="s">
        <v>138</v>
      </c>
      <c r="F11" s="48" t="s">
        <v>137</v>
      </c>
    </row>
    <row r="12" spans="1:6" ht="20.100000000000001" customHeight="1">
      <c r="A12" s="47">
        <f t="shared" si="0"/>
        <v>11</v>
      </c>
      <c r="B12" s="48" t="s">
        <v>69</v>
      </c>
      <c r="C12" s="48" t="s">
        <v>45</v>
      </c>
      <c r="D12" s="48" t="s">
        <v>43</v>
      </c>
      <c r="E12" s="48" t="s">
        <v>138</v>
      </c>
      <c r="F12" s="48" t="s">
        <v>137</v>
      </c>
    </row>
    <row r="13" spans="1:6" ht="20.100000000000001" customHeight="1">
      <c r="A13" s="47">
        <f t="shared" si="0"/>
        <v>12</v>
      </c>
      <c r="B13" s="48" t="s">
        <v>84</v>
      </c>
      <c r="C13" s="48" t="s">
        <v>46</v>
      </c>
      <c r="D13" s="48" t="s">
        <v>43</v>
      </c>
      <c r="E13" s="48" t="s">
        <v>139</v>
      </c>
      <c r="F13" s="48" t="s">
        <v>137</v>
      </c>
    </row>
    <row r="14" spans="1:6" ht="20.100000000000001" customHeight="1">
      <c r="A14" s="47">
        <f t="shared" si="0"/>
        <v>13</v>
      </c>
      <c r="B14" s="48" t="s">
        <v>72</v>
      </c>
      <c r="C14" s="48" t="s">
        <v>50</v>
      </c>
      <c r="D14" s="48" t="s">
        <v>43</v>
      </c>
      <c r="E14" s="48" t="s">
        <v>139</v>
      </c>
      <c r="F14" s="48" t="s">
        <v>137</v>
      </c>
    </row>
    <row r="15" spans="1:6" ht="20.100000000000001" customHeight="1">
      <c r="A15" s="47">
        <f t="shared" si="0"/>
        <v>14</v>
      </c>
      <c r="B15" s="48" t="s">
        <v>89</v>
      </c>
      <c r="C15" s="48" t="s">
        <v>52</v>
      </c>
      <c r="D15" s="48" t="s">
        <v>43</v>
      </c>
      <c r="E15" s="48" t="s">
        <v>139</v>
      </c>
      <c r="F15" s="48" t="s">
        <v>137</v>
      </c>
    </row>
    <row r="16" spans="1:6" ht="20.100000000000001" customHeight="1">
      <c r="A16" s="47">
        <f t="shared" si="0"/>
        <v>15</v>
      </c>
      <c r="B16" s="48" t="s">
        <v>87</v>
      </c>
      <c r="C16" s="48" t="s">
        <v>53</v>
      </c>
      <c r="D16" s="48" t="s">
        <v>43</v>
      </c>
      <c r="E16" s="48" t="s">
        <v>139</v>
      </c>
      <c r="F16" s="48" t="s">
        <v>137</v>
      </c>
    </row>
    <row r="17" spans="1:6" ht="20.100000000000001" customHeight="1">
      <c r="A17" s="47">
        <f t="shared" si="0"/>
        <v>16</v>
      </c>
      <c r="B17" s="48" t="s">
        <v>81</v>
      </c>
      <c r="C17" s="48" t="s">
        <v>51</v>
      </c>
      <c r="D17" s="48" t="s">
        <v>43</v>
      </c>
      <c r="E17" s="48" t="s">
        <v>136</v>
      </c>
      <c r="F17" s="48" t="s">
        <v>137</v>
      </c>
    </row>
    <row r="18" spans="1:6" ht="20.100000000000001" customHeight="1">
      <c r="A18" s="47">
        <f t="shared" si="0"/>
        <v>17</v>
      </c>
      <c r="B18" s="48" t="s">
        <v>86</v>
      </c>
      <c r="C18" s="48" t="s">
        <v>49</v>
      </c>
      <c r="D18" s="48" t="s">
        <v>43</v>
      </c>
      <c r="E18" s="48" t="s">
        <v>136</v>
      </c>
      <c r="F18" s="48" t="s">
        <v>137</v>
      </c>
    </row>
    <row r="19" spans="1:6" ht="20.100000000000001" customHeight="1">
      <c r="A19" s="47">
        <f t="shared" si="0"/>
        <v>18</v>
      </c>
      <c r="B19" s="48" t="s">
        <v>80</v>
      </c>
      <c r="C19" s="48" t="s">
        <v>44</v>
      </c>
      <c r="D19" s="48" t="s">
        <v>43</v>
      </c>
      <c r="E19" s="48" t="s">
        <v>136</v>
      </c>
      <c r="F19" s="48" t="s">
        <v>137</v>
      </c>
    </row>
    <row r="20" spans="1:6" ht="20.100000000000001" customHeight="1">
      <c r="A20" s="47">
        <f t="shared" si="0"/>
        <v>19</v>
      </c>
      <c r="B20" s="48" t="s">
        <v>101</v>
      </c>
      <c r="C20" s="48" t="s">
        <v>55</v>
      </c>
      <c r="D20" s="48" t="s">
        <v>54</v>
      </c>
      <c r="E20" s="48" t="s">
        <v>136</v>
      </c>
      <c r="F20" s="48" t="s">
        <v>137</v>
      </c>
    </row>
    <row r="21" spans="1:6" ht="20.100000000000001" customHeight="1">
      <c r="A21" s="47">
        <f t="shared" si="0"/>
        <v>20</v>
      </c>
      <c r="B21" s="48" t="s">
        <v>97</v>
      </c>
      <c r="C21" s="48" t="s">
        <v>56</v>
      </c>
      <c r="D21" s="48" t="s">
        <v>54</v>
      </c>
      <c r="E21" s="48" t="s">
        <v>139</v>
      </c>
      <c r="F21" s="48" t="s">
        <v>137</v>
      </c>
    </row>
    <row r="22" spans="1:6" ht="20.100000000000001" customHeight="1">
      <c r="A22" s="47">
        <f t="shared" si="0"/>
        <v>21</v>
      </c>
      <c r="B22" s="48" t="s">
        <v>99</v>
      </c>
      <c r="C22" s="48" t="s">
        <v>59</v>
      </c>
      <c r="D22" s="48" t="s">
        <v>54</v>
      </c>
      <c r="E22" s="48" t="s">
        <v>139</v>
      </c>
      <c r="F22" s="48" t="s">
        <v>137</v>
      </c>
    </row>
    <row r="23" spans="1:6" ht="20.100000000000001" customHeight="1">
      <c r="A23" s="47">
        <f t="shared" si="0"/>
        <v>22</v>
      </c>
      <c r="B23" s="48" t="s">
        <v>100</v>
      </c>
      <c r="C23" s="48" t="s">
        <v>58</v>
      </c>
      <c r="D23" s="48" t="s">
        <v>54</v>
      </c>
      <c r="E23" s="48" t="s">
        <v>139</v>
      </c>
      <c r="F23" s="48" t="s">
        <v>137</v>
      </c>
    </row>
    <row r="24" spans="1:6" ht="20.100000000000001" customHeight="1">
      <c r="A24" s="47">
        <f t="shared" si="0"/>
        <v>23</v>
      </c>
      <c r="B24" s="48" t="s">
        <v>109</v>
      </c>
      <c r="C24" s="48" t="s">
        <v>61</v>
      </c>
      <c r="D24" s="48" t="s">
        <v>54</v>
      </c>
      <c r="E24" s="48" t="s">
        <v>139</v>
      </c>
      <c r="F24" s="48" t="s">
        <v>141</v>
      </c>
    </row>
    <row r="25" spans="1:6" ht="20.100000000000001" customHeight="1">
      <c r="A25" s="47">
        <f t="shared" si="0"/>
        <v>24</v>
      </c>
      <c r="B25" s="48" t="s">
        <v>107</v>
      </c>
      <c r="C25" s="48" t="s">
        <v>60</v>
      </c>
      <c r="D25" s="48" t="s">
        <v>54</v>
      </c>
      <c r="E25" s="48" t="s">
        <v>138</v>
      </c>
      <c r="F25" s="48" t="s">
        <v>141</v>
      </c>
    </row>
    <row r="26" spans="1:6" ht="20.100000000000001" customHeight="1">
      <c r="A26" s="47">
        <f t="shared" si="0"/>
        <v>25</v>
      </c>
      <c r="B26" s="48" t="s">
        <v>112</v>
      </c>
      <c r="C26" s="48" t="s">
        <v>57</v>
      </c>
      <c r="D26" s="48" t="s">
        <v>54</v>
      </c>
      <c r="E26" s="48" t="s">
        <v>138</v>
      </c>
      <c r="F26" s="48" t="s">
        <v>140</v>
      </c>
    </row>
    <row r="27" spans="1:6" ht="20.100000000000001" customHeight="1">
      <c r="A27" s="47">
        <f t="shared" ref="A27" si="1">IF(B27="","",MAX($A$1,A26)+1)</f>
        <v>26</v>
      </c>
      <c r="B27" s="48" t="s">
        <v>83</v>
      </c>
      <c r="C27" s="48" t="s">
        <v>42</v>
      </c>
      <c r="D27" s="48" t="s">
        <v>33</v>
      </c>
      <c r="E27" s="48" t="s">
        <v>138</v>
      </c>
      <c r="F27" s="48" t="s">
        <v>141</v>
      </c>
    </row>
    <row r="28" spans="1:6" ht="20.100000000000001" customHeight="1">
      <c r="A28" s="32" t="str">
        <f t="shared" si="0"/>
        <v/>
      </c>
      <c r="B28" s="49"/>
      <c r="C28" s="49"/>
      <c r="D28" s="49"/>
      <c r="E28" s="49"/>
    </row>
    <row r="29" spans="1:6" ht="20.100000000000001" customHeight="1">
      <c r="A29" s="32" t="str">
        <f t="shared" si="0"/>
        <v/>
      </c>
      <c r="B29" s="49"/>
      <c r="C29" s="49"/>
      <c r="D29" s="49"/>
      <c r="E29" s="49"/>
    </row>
    <row r="30" spans="1:6" ht="20.100000000000001" customHeight="1">
      <c r="A30" s="32" t="str">
        <f t="shared" si="0"/>
        <v/>
      </c>
      <c r="B30" s="49"/>
      <c r="C30" s="49"/>
      <c r="D30" s="49"/>
      <c r="E30" s="49"/>
    </row>
    <row r="31" spans="1:6" ht="20.100000000000001" customHeight="1">
      <c r="A31" s="32" t="str">
        <f t="shared" si="0"/>
        <v/>
      </c>
      <c r="B31" s="49"/>
      <c r="C31" s="49"/>
      <c r="D31" s="49"/>
      <c r="E31" s="49"/>
    </row>
    <row r="32" spans="1:6" ht="20.100000000000001" customHeight="1">
      <c r="A32" s="32" t="str">
        <f t="shared" si="0"/>
        <v/>
      </c>
      <c r="B32" s="49"/>
      <c r="C32" s="49"/>
      <c r="D32" s="49"/>
      <c r="E32" s="49"/>
    </row>
    <row r="33" spans="1:5" ht="20.100000000000001" customHeight="1">
      <c r="A33" s="32" t="str">
        <f t="shared" si="0"/>
        <v/>
      </c>
      <c r="B33" s="49"/>
      <c r="C33" s="49"/>
      <c r="D33" s="49"/>
      <c r="E33" s="49"/>
    </row>
    <row r="34" spans="1:5" ht="20.100000000000001" customHeight="1">
      <c r="A34" s="32" t="str">
        <f t="shared" si="0"/>
        <v/>
      </c>
      <c r="B34" s="49"/>
      <c r="C34" s="49"/>
      <c r="D34" s="49"/>
      <c r="E34" s="49"/>
    </row>
    <row r="35" spans="1:5" ht="20.100000000000001" customHeight="1">
      <c r="A35" s="32" t="str">
        <f t="shared" si="0"/>
        <v/>
      </c>
      <c r="B35" s="49"/>
      <c r="C35" s="49"/>
      <c r="D35" s="49"/>
      <c r="E35" s="49"/>
    </row>
    <row r="36" spans="1:5" ht="20.100000000000001" customHeight="1">
      <c r="A36" s="32" t="str">
        <f t="shared" si="0"/>
        <v/>
      </c>
      <c r="B36" s="49"/>
      <c r="C36" s="49"/>
      <c r="D36" s="49"/>
      <c r="E36" s="49"/>
    </row>
    <row r="37" spans="1:5" ht="20.100000000000001" customHeight="1">
      <c r="A37" s="32" t="str">
        <f t="shared" si="0"/>
        <v/>
      </c>
      <c r="B37" s="49"/>
      <c r="C37" s="49"/>
      <c r="D37" s="49"/>
      <c r="E37" s="49"/>
    </row>
    <row r="38" spans="1:5" ht="20.100000000000001" customHeight="1">
      <c r="A38" s="32" t="str">
        <f t="shared" si="0"/>
        <v/>
      </c>
      <c r="B38" s="49"/>
      <c r="C38" s="49"/>
      <c r="D38" s="49"/>
      <c r="E38" s="49"/>
    </row>
    <row r="39" spans="1:5" ht="20.100000000000001" customHeight="1">
      <c r="A39" s="32" t="str">
        <f t="shared" si="0"/>
        <v/>
      </c>
      <c r="B39" s="49"/>
      <c r="C39" s="49"/>
      <c r="D39" s="49"/>
      <c r="E39" s="49"/>
    </row>
    <row r="40" spans="1:5" ht="20.100000000000001" customHeight="1">
      <c r="A40" s="32" t="str">
        <f t="shared" si="0"/>
        <v/>
      </c>
      <c r="B40" s="49"/>
      <c r="C40" s="49"/>
      <c r="D40" s="49"/>
      <c r="E40" s="49"/>
    </row>
    <row r="41" spans="1:5" ht="20.100000000000001" customHeight="1">
      <c r="A41" s="32" t="str">
        <f t="shared" si="0"/>
        <v/>
      </c>
      <c r="B41" s="49"/>
      <c r="C41" s="49"/>
      <c r="D41" s="49"/>
      <c r="E41" s="49"/>
    </row>
    <row r="42" spans="1:5" ht="20.100000000000001" customHeight="1">
      <c r="A42" s="32" t="str">
        <f t="shared" si="0"/>
        <v/>
      </c>
      <c r="B42" s="49"/>
      <c r="C42" s="49"/>
      <c r="D42" s="49"/>
      <c r="E42" s="49"/>
    </row>
    <row r="43" spans="1:5" ht="20.100000000000001" customHeight="1">
      <c r="A43" s="32" t="str">
        <f t="shared" si="0"/>
        <v/>
      </c>
      <c r="B43" s="49"/>
      <c r="C43" s="49"/>
      <c r="D43" s="49"/>
      <c r="E43" s="49"/>
    </row>
    <row r="44" spans="1:5" ht="20.100000000000001" customHeight="1">
      <c r="A44" s="32" t="str">
        <f t="shared" si="0"/>
        <v/>
      </c>
      <c r="B44" s="49"/>
      <c r="C44" s="49"/>
      <c r="D44" s="49"/>
      <c r="E44" s="49"/>
    </row>
    <row r="45" spans="1:5" ht="20.100000000000001" customHeight="1">
      <c r="A45" s="32" t="str">
        <f t="shared" si="0"/>
        <v/>
      </c>
      <c r="B45" s="49"/>
      <c r="C45" s="49"/>
      <c r="D45" s="49"/>
      <c r="E45" s="49"/>
    </row>
    <row r="46" spans="1:5" ht="20.100000000000001" customHeight="1">
      <c r="A46" s="32" t="str">
        <f t="shared" si="0"/>
        <v/>
      </c>
      <c r="B46" s="49"/>
      <c r="C46" s="49"/>
      <c r="D46" s="49"/>
      <c r="E46" s="49"/>
    </row>
    <row r="47" spans="1:5" ht="20.100000000000001" customHeight="1">
      <c r="A47" s="49"/>
      <c r="B47" s="49"/>
      <c r="C47" s="49"/>
      <c r="D47" s="49"/>
      <c r="E47" s="49"/>
    </row>
    <row r="48" spans="1:5" ht="20.100000000000001" customHeight="1">
      <c r="A48" s="49"/>
      <c r="B48" s="49"/>
      <c r="C48" s="49"/>
      <c r="D48" s="49"/>
      <c r="E48" s="49"/>
    </row>
    <row r="49" spans="1:5" ht="20.100000000000001" customHeight="1">
      <c r="A49" s="49"/>
      <c r="B49" s="49"/>
      <c r="C49" s="49"/>
      <c r="D49" s="49"/>
      <c r="E49" s="49"/>
    </row>
    <row r="50" spans="1:5" ht="20.100000000000001" customHeight="1">
      <c r="A50" s="49"/>
      <c r="B50" s="49"/>
      <c r="C50" s="49"/>
      <c r="D50" s="49"/>
      <c r="E50" s="49"/>
    </row>
    <row r="51" spans="1:5" ht="20.100000000000001" customHeight="1">
      <c r="A51" s="49"/>
      <c r="B51" s="49"/>
      <c r="C51" s="49"/>
      <c r="D51" s="49"/>
      <c r="E51" s="49"/>
    </row>
    <row r="52" spans="1:5" ht="20.100000000000001" customHeight="1">
      <c r="A52" s="49"/>
      <c r="B52" s="49"/>
      <c r="C52" s="49"/>
      <c r="D52" s="49"/>
      <c r="E52" s="49"/>
    </row>
    <row r="53" spans="1:5" ht="20.100000000000001" customHeight="1">
      <c r="A53" s="49"/>
      <c r="B53" s="49"/>
      <c r="C53" s="49"/>
      <c r="D53" s="49"/>
      <c r="E53" s="49"/>
    </row>
    <row r="54" spans="1:5" ht="20.100000000000001" customHeight="1">
      <c r="A54" s="49"/>
      <c r="B54" s="49"/>
      <c r="C54" s="49"/>
      <c r="D54" s="49"/>
      <c r="E54" s="49"/>
    </row>
    <row r="55" spans="1:5" ht="20.100000000000001" customHeight="1">
      <c r="A55" s="49"/>
      <c r="B55" s="49"/>
      <c r="C55" s="49"/>
      <c r="D55" s="49"/>
      <c r="E55" s="49"/>
    </row>
    <row r="56" spans="1:5" ht="20.100000000000001" customHeight="1">
      <c r="A56" s="49"/>
      <c r="B56" s="49"/>
      <c r="C56" s="49"/>
      <c r="D56" s="49"/>
      <c r="E56" s="49"/>
    </row>
    <row r="57" spans="1:5" ht="20.100000000000001" customHeight="1">
      <c r="A57" s="49"/>
      <c r="B57" s="49"/>
      <c r="C57" s="49"/>
      <c r="D57" s="49"/>
      <c r="E57" s="49"/>
    </row>
    <row r="58" spans="1:5" ht="20.100000000000001" customHeight="1">
      <c r="A58" s="49"/>
      <c r="B58" s="49"/>
      <c r="C58" s="49"/>
      <c r="D58" s="49"/>
      <c r="E58" s="49"/>
    </row>
    <row r="59" spans="1:5" ht="20.100000000000001" customHeight="1">
      <c r="A59" s="49"/>
      <c r="B59" s="49"/>
      <c r="C59" s="49"/>
      <c r="D59" s="49"/>
      <c r="E59" s="49"/>
    </row>
    <row r="60" spans="1:5" ht="20.100000000000001" customHeight="1">
      <c r="A60" s="49"/>
      <c r="B60" s="49"/>
      <c r="C60" s="49"/>
      <c r="D60" s="49"/>
      <c r="E60" s="49"/>
    </row>
    <row r="61" spans="1:5" ht="20.100000000000001" customHeight="1">
      <c r="A61" s="49"/>
      <c r="B61" s="49"/>
      <c r="C61" s="49"/>
      <c r="D61" s="49"/>
      <c r="E61" s="49"/>
    </row>
    <row r="62" spans="1:5" ht="20.100000000000001" customHeight="1">
      <c r="A62" s="49"/>
      <c r="B62" s="49"/>
      <c r="C62" s="49"/>
      <c r="D62" s="49"/>
      <c r="E62" s="49"/>
    </row>
    <row r="63" spans="1:5" ht="20.100000000000001" customHeight="1">
      <c r="A63" s="49"/>
      <c r="B63" s="49"/>
      <c r="C63" s="49"/>
      <c r="D63" s="49"/>
      <c r="E63" s="49"/>
    </row>
    <row r="64" spans="1:5" ht="20.100000000000001" customHeight="1">
      <c r="A64" s="49"/>
      <c r="B64" s="49"/>
      <c r="C64" s="49"/>
      <c r="D64" s="49"/>
      <c r="E64" s="49"/>
    </row>
    <row r="65" spans="1:5" ht="20.100000000000001" customHeight="1">
      <c r="A65" s="49"/>
      <c r="B65" s="49"/>
      <c r="C65" s="49"/>
      <c r="D65" s="49"/>
      <c r="E65" s="49"/>
    </row>
    <row r="66" spans="1:5" ht="20.100000000000001" customHeight="1">
      <c r="A66" s="49"/>
      <c r="B66" s="49"/>
      <c r="C66" s="49"/>
      <c r="D66" s="49"/>
      <c r="E66" s="49"/>
    </row>
    <row r="67" spans="1:5" ht="20.100000000000001" customHeight="1">
      <c r="A67" s="49"/>
      <c r="B67" s="49"/>
      <c r="C67" s="49"/>
      <c r="D67" s="49"/>
      <c r="E67" s="49"/>
    </row>
    <row r="68" spans="1:5" ht="20.100000000000001" customHeight="1">
      <c r="A68" s="49"/>
      <c r="B68" s="49"/>
      <c r="C68" s="50"/>
      <c r="D68" s="49"/>
      <c r="E68" s="49"/>
    </row>
    <row r="69" spans="1:5" ht="20.100000000000001" customHeight="1">
      <c r="A69" s="49"/>
      <c r="B69" s="49"/>
      <c r="C69" s="49"/>
      <c r="D69" s="49"/>
      <c r="E69" s="49"/>
    </row>
    <row r="70" spans="1:5" ht="20.100000000000001" customHeight="1">
      <c r="A70" s="49"/>
      <c r="B70" s="49"/>
      <c r="C70" s="49"/>
      <c r="D70" s="49"/>
      <c r="E70" s="49"/>
    </row>
    <row r="71" spans="1:5" ht="20.100000000000001" customHeight="1">
      <c r="A71" s="49"/>
      <c r="B71" s="49"/>
      <c r="C71" s="49"/>
      <c r="D71" s="49"/>
      <c r="E71" s="49"/>
    </row>
    <row r="72" spans="1:5" ht="20.100000000000001" customHeight="1">
      <c r="A72" s="49"/>
      <c r="B72" s="49"/>
      <c r="C72" s="49"/>
      <c r="D72" s="49"/>
      <c r="E72" s="49"/>
    </row>
    <row r="73" spans="1:5" ht="20.100000000000001" customHeight="1">
      <c r="A73" s="49"/>
      <c r="B73" s="49"/>
      <c r="C73" s="49"/>
      <c r="D73" s="49"/>
      <c r="E73" s="49"/>
    </row>
    <row r="74" spans="1:5" ht="20.100000000000001" customHeight="1">
      <c r="A74" s="49"/>
      <c r="B74" s="49"/>
      <c r="C74" s="49"/>
      <c r="D74" s="49"/>
      <c r="E74" s="49"/>
    </row>
    <row r="75" spans="1:5" ht="20.100000000000001" customHeight="1">
      <c r="A75" s="49"/>
      <c r="B75" s="49"/>
      <c r="C75" s="49"/>
      <c r="D75" s="49"/>
      <c r="E75" s="49"/>
    </row>
    <row r="76" spans="1:5" ht="20.100000000000001" customHeight="1">
      <c r="A76" s="49"/>
      <c r="B76" s="49"/>
      <c r="C76" s="49"/>
      <c r="D76" s="49"/>
      <c r="E76" s="49"/>
    </row>
    <row r="77" spans="1:5" ht="20.100000000000001" customHeight="1">
      <c r="A77" s="49"/>
      <c r="B77" s="49"/>
      <c r="C77" s="49"/>
      <c r="D77" s="49"/>
      <c r="E77" s="49"/>
    </row>
    <row r="78" spans="1:5" ht="20.100000000000001" customHeight="1">
      <c r="A78" s="49"/>
      <c r="B78" s="49"/>
      <c r="C78" s="49"/>
      <c r="D78" s="49"/>
      <c r="E78" s="49"/>
    </row>
    <row r="79" spans="1:5" ht="20.100000000000001" customHeight="1">
      <c r="A79" s="49"/>
      <c r="B79" s="49"/>
      <c r="C79" s="49"/>
      <c r="D79" s="49"/>
      <c r="E79" s="49"/>
    </row>
    <row r="80" spans="1:5" ht="20.100000000000001" customHeight="1">
      <c r="A80" s="49"/>
      <c r="B80" s="49"/>
      <c r="C80" s="49"/>
      <c r="D80" s="49"/>
      <c r="E80" s="49"/>
    </row>
    <row r="81" spans="1:5" ht="20.100000000000001" customHeight="1">
      <c r="A81" s="49"/>
      <c r="B81" s="49"/>
      <c r="C81" s="49"/>
      <c r="D81" s="49"/>
      <c r="E81" s="49"/>
    </row>
    <row r="82" spans="1:5" ht="20.100000000000001" customHeight="1">
      <c r="A82" s="49"/>
      <c r="B82" s="49"/>
      <c r="C82" s="49"/>
      <c r="D82" s="49"/>
      <c r="E82" s="49"/>
    </row>
    <row r="83" spans="1:5" ht="20.100000000000001" customHeight="1">
      <c r="A83" s="49"/>
      <c r="B83" s="49"/>
      <c r="C83" s="49"/>
      <c r="D83" s="49"/>
      <c r="E83" s="49"/>
    </row>
    <row r="84" spans="1:5" ht="20.100000000000001" customHeight="1">
      <c r="A84" s="49"/>
      <c r="B84" s="49"/>
      <c r="C84" s="49"/>
      <c r="D84" s="49"/>
      <c r="E84" s="49"/>
    </row>
    <row r="85" spans="1:5" ht="20.100000000000001" customHeight="1">
      <c r="A85" s="49"/>
      <c r="B85" s="49"/>
      <c r="C85" s="49"/>
      <c r="D85" s="49"/>
      <c r="E85" s="49"/>
    </row>
    <row r="86" spans="1:5" ht="20.100000000000001" customHeight="1">
      <c r="E86" s="49"/>
    </row>
    <row r="87" spans="1:5" ht="20.100000000000001" customHeight="1">
      <c r="E87" s="49"/>
    </row>
  </sheetData>
  <autoFilter ref="B1:E1" xr:uid="{00000000-0001-0000-0100-000000000000}"/>
  <pageMargins left="1" right="1" top="1" bottom="1" header="0.25" footer="0.25"/>
  <pageSetup orientation="portrait"/>
  <headerFooter>
    <oddFooter>&amp;C&amp;"Helvetica Neue,Regular"&amp;12&amp;K000000&amp;P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9116315-B848-4174-8D13-D4C80E337BB4}">
          <x14:formula1>
            <xm:f>'Danh mục'!$E$2:$E$6</xm:f>
          </x14:formula1>
          <xm:sqref>F2:F27</xm:sqref>
        </x14:dataValidation>
        <x14:dataValidation type="list" allowBlank="1" showInputMessage="1" showErrorMessage="1" xr:uid="{FD7F1F72-1C02-4C37-9E07-E7FD8FFC29F9}">
          <x14:formula1>
            <xm:f>'Danh mục'!$G$1:$G$4</xm:f>
          </x14:formula1>
          <xm:sqref>E2:E27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51"/>
  <sheetViews>
    <sheetView showGridLines="0" zoomScale="125" zoomScaleNormal="125" workbookViewId="0">
      <pane ySplit="1" topLeftCell="A2" activePane="bottomLeft" state="frozen"/>
      <selection pane="bottomLeft" activeCell="D46" sqref="D46"/>
    </sheetView>
  </sheetViews>
  <sheetFormatPr defaultColWidth="8.375" defaultRowHeight="12.75"/>
  <cols>
    <col min="1" max="1" width="3.875" style="32" bestFit="1" customWidth="1"/>
    <col min="2" max="2" width="24.25" style="39" bestFit="1" customWidth="1"/>
    <col min="3" max="3" width="19.625" style="39" bestFit="1" customWidth="1"/>
    <col min="4" max="4" width="56.875" style="40" bestFit="1" customWidth="1"/>
    <col min="5" max="5" width="7.125" style="39" bestFit="1" customWidth="1"/>
    <col min="6" max="6" width="27.375" style="39" bestFit="1" customWidth="1"/>
    <col min="7" max="16384" width="8.375" style="32"/>
  </cols>
  <sheetData>
    <row r="1" spans="1:6">
      <c r="A1" s="29" t="s">
        <v>132</v>
      </c>
      <c r="B1" s="30" t="s">
        <v>142</v>
      </c>
      <c r="C1" s="30" t="s">
        <v>143</v>
      </c>
      <c r="D1" s="31" t="s">
        <v>144</v>
      </c>
      <c r="E1" s="30" t="s">
        <v>65</v>
      </c>
      <c r="F1" s="31" t="s">
        <v>145</v>
      </c>
    </row>
    <row r="2" spans="1:6">
      <c r="A2" s="47">
        <f t="shared" ref="A2:A33" si="0">IF(B2="","",MAX($A$1,A1)+1)</f>
        <v>1</v>
      </c>
      <c r="B2" s="33" t="s">
        <v>146</v>
      </c>
      <c r="C2" s="33" t="s">
        <v>146</v>
      </c>
      <c r="D2" s="34" t="s">
        <v>147</v>
      </c>
      <c r="E2" s="33" t="s">
        <v>148</v>
      </c>
      <c r="F2" s="33" t="s">
        <v>149</v>
      </c>
    </row>
    <row r="3" spans="1:6">
      <c r="A3" s="47">
        <f t="shared" si="0"/>
        <v>2</v>
      </c>
      <c r="B3" s="33" t="s">
        <v>76</v>
      </c>
      <c r="C3" s="33" t="s">
        <v>150</v>
      </c>
      <c r="D3" s="34" t="s">
        <v>151</v>
      </c>
      <c r="E3" s="33" t="s">
        <v>148</v>
      </c>
      <c r="F3" s="33" t="s">
        <v>152</v>
      </c>
    </row>
    <row r="4" spans="1:6">
      <c r="A4" s="47">
        <f t="shared" si="0"/>
        <v>3</v>
      </c>
      <c r="B4" s="33" t="s">
        <v>94</v>
      </c>
      <c r="C4" s="33" t="s">
        <v>153</v>
      </c>
      <c r="D4" s="34" t="s">
        <v>154</v>
      </c>
      <c r="E4" s="33" t="s">
        <v>148</v>
      </c>
      <c r="F4" s="33" t="s">
        <v>152</v>
      </c>
    </row>
    <row r="5" spans="1:6" ht="25.5">
      <c r="A5" s="47">
        <f t="shared" si="0"/>
        <v>4</v>
      </c>
      <c r="B5" s="33" t="s">
        <v>155</v>
      </c>
      <c r="C5" s="33" t="s">
        <v>156</v>
      </c>
      <c r="D5" s="34" t="s">
        <v>157</v>
      </c>
      <c r="E5" s="33" t="s">
        <v>148</v>
      </c>
      <c r="F5" s="33" t="s">
        <v>158</v>
      </c>
    </row>
    <row r="6" spans="1:6">
      <c r="A6" s="47">
        <f t="shared" si="0"/>
        <v>5</v>
      </c>
      <c r="B6" s="33" t="s">
        <v>110</v>
      </c>
      <c r="C6" s="33" t="s">
        <v>159</v>
      </c>
      <c r="D6" s="34" t="s">
        <v>160</v>
      </c>
      <c r="E6" s="33" t="s">
        <v>148</v>
      </c>
      <c r="F6" s="33" t="s">
        <v>152</v>
      </c>
    </row>
    <row r="7" spans="1:6">
      <c r="A7" s="47">
        <f t="shared" si="0"/>
        <v>6</v>
      </c>
      <c r="B7" s="33" t="s">
        <v>96</v>
      </c>
      <c r="C7" s="33" t="s">
        <v>161</v>
      </c>
      <c r="D7" s="34" t="s">
        <v>162</v>
      </c>
      <c r="E7" s="33" t="s">
        <v>148</v>
      </c>
      <c r="F7" s="33" t="s">
        <v>163</v>
      </c>
    </row>
    <row r="8" spans="1:6" ht="38.25">
      <c r="A8" s="47">
        <f t="shared" si="0"/>
        <v>7</v>
      </c>
      <c r="B8" s="34" t="s">
        <v>95</v>
      </c>
      <c r="C8" s="33" t="s">
        <v>164</v>
      </c>
      <c r="D8" s="34" t="s">
        <v>165</v>
      </c>
      <c r="E8" s="33" t="s">
        <v>148</v>
      </c>
      <c r="F8" s="33" t="s">
        <v>163</v>
      </c>
    </row>
    <row r="9" spans="1:6">
      <c r="A9" s="47">
        <f t="shared" si="0"/>
        <v>8</v>
      </c>
      <c r="B9" s="33" t="s">
        <v>73</v>
      </c>
      <c r="C9" s="33" t="s">
        <v>73</v>
      </c>
      <c r="D9" s="34" t="s">
        <v>166</v>
      </c>
      <c r="E9" s="33" t="s">
        <v>167</v>
      </c>
      <c r="F9" s="33" t="s">
        <v>152</v>
      </c>
    </row>
    <row r="10" spans="1:6">
      <c r="A10" s="47">
        <f t="shared" si="0"/>
        <v>9</v>
      </c>
      <c r="B10" s="33" t="s">
        <v>88</v>
      </c>
      <c r="C10" s="33" t="s">
        <v>168</v>
      </c>
      <c r="D10" s="34" t="s">
        <v>169</v>
      </c>
      <c r="E10" s="33" t="s">
        <v>167</v>
      </c>
      <c r="F10" s="33" t="s">
        <v>149</v>
      </c>
    </row>
    <row r="11" spans="1:6" ht="25.5">
      <c r="A11" s="47">
        <f t="shared" si="0"/>
        <v>10</v>
      </c>
      <c r="B11" s="33" t="s">
        <v>170</v>
      </c>
      <c r="C11" s="33" t="s">
        <v>171</v>
      </c>
      <c r="D11" s="34" t="s">
        <v>172</v>
      </c>
      <c r="E11" s="33" t="s">
        <v>167</v>
      </c>
      <c r="F11" s="33" t="s">
        <v>149</v>
      </c>
    </row>
    <row r="12" spans="1:6">
      <c r="A12" s="47">
        <f t="shared" si="0"/>
        <v>11</v>
      </c>
      <c r="B12" s="33" t="s">
        <v>79</v>
      </c>
      <c r="C12" s="33" t="s">
        <v>173</v>
      </c>
      <c r="D12" s="34" t="s">
        <v>174</v>
      </c>
      <c r="E12" s="33" t="s">
        <v>167</v>
      </c>
      <c r="F12" s="33" t="s">
        <v>152</v>
      </c>
    </row>
    <row r="13" spans="1:6">
      <c r="A13" s="47">
        <f t="shared" si="0"/>
        <v>12</v>
      </c>
      <c r="B13" s="33" t="s">
        <v>85</v>
      </c>
      <c r="C13" s="33" t="s">
        <v>175</v>
      </c>
      <c r="D13" s="34"/>
      <c r="E13" s="33" t="s">
        <v>167</v>
      </c>
      <c r="F13" s="33" t="s">
        <v>176</v>
      </c>
    </row>
    <row r="14" spans="1:6">
      <c r="A14" s="47">
        <f t="shared" si="0"/>
        <v>13</v>
      </c>
      <c r="B14" s="33" t="s">
        <v>177</v>
      </c>
      <c r="C14" s="33" t="s">
        <v>177</v>
      </c>
      <c r="D14" s="34"/>
      <c r="E14" s="33" t="s">
        <v>167</v>
      </c>
      <c r="F14" s="33" t="s">
        <v>149</v>
      </c>
    </row>
    <row r="15" spans="1:6">
      <c r="A15" s="47">
        <f t="shared" si="0"/>
        <v>14</v>
      </c>
      <c r="B15" s="33" t="s">
        <v>119</v>
      </c>
      <c r="C15" s="33" t="s">
        <v>178</v>
      </c>
      <c r="D15" s="34"/>
      <c r="E15" s="33" t="s">
        <v>167</v>
      </c>
      <c r="F15" s="33" t="s">
        <v>176</v>
      </c>
    </row>
    <row r="16" spans="1:6">
      <c r="A16" s="47">
        <f t="shared" si="0"/>
        <v>15</v>
      </c>
      <c r="B16" s="33" t="s">
        <v>90</v>
      </c>
      <c r="C16" s="33" t="s">
        <v>179</v>
      </c>
      <c r="D16" s="34" t="s">
        <v>180</v>
      </c>
      <c r="E16" s="33" t="s">
        <v>181</v>
      </c>
      <c r="F16" s="33" t="s">
        <v>149</v>
      </c>
    </row>
    <row r="17" spans="1:6">
      <c r="A17" s="47">
        <f t="shared" si="0"/>
        <v>16</v>
      </c>
      <c r="B17" s="33" t="s">
        <v>93</v>
      </c>
      <c r="C17" s="33" t="s">
        <v>182</v>
      </c>
      <c r="D17" s="34" t="s">
        <v>183</v>
      </c>
      <c r="E17" s="33" t="s">
        <v>181</v>
      </c>
      <c r="F17" s="33" t="s">
        <v>152</v>
      </c>
    </row>
    <row r="18" spans="1:6" ht="25.5">
      <c r="A18" s="47">
        <f t="shared" si="0"/>
        <v>17</v>
      </c>
      <c r="B18" s="33" t="s">
        <v>104</v>
      </c>
      <c r="C18" s="33" t="s">
        <v>184</v>
      </c>
      <c r="D18" s="34" t="s">
        <v>185</v>
      </c>
      <c r="E18" s="33" t="s">
        <v>186</v>
      </c>
      <c r="F18" s="33" t="s">
        <v>176</v>
      </c>
    </row>
    <row r="19" spans="1:6" ht="15.75">
      <c r="A19" s="47">
        <f t="shared" si="0"/>
        <v>18</v>
      </c>
      <c r="B19" s="34" t="s">
        <v>113</v>
      </c>
      <c r="C19" s="35" t="s">
        <v>187</v>
      </c>
      <c r="D19" s="35" t="s">
        <v>188</v>
      </c>
      <c r="E19" s="35" t="s">
        <v>189</v>
      </c>
      <c r="F19" s="33" t="s">
        <v>190</v>
      </c>
    </row>
    <row r="20" spans="1:6" ht="15.75">
      <c r="A20" s="47">
        <f t="shared" si="0"/>
        <v>19</v>
      </c>
      <c r="B20" s="36" t="s">
        <v>105</v>
      </c>
      <c r="C20" s="33" t="s">
        <v>191</v>
      </c>
      <c r="D20" s="34" t="s">
        <v>192</v>
      </c>
      <c r="E20" s="33" t="s">
        <v>189</v>
      </c>
      <c r="F20" s="33" t="s">
        <v>152</v>
      </c>
    </row>
    <row r="21" spans="1:6" ht="25.5">
      <c r="A21" s="47">
        <f t="shared" si="0"/>
        <v>20</v>
      </c>
      <c r="B21" s="33" t="s">
        <v>108</v>
      </c>
      <c r="C21" s="33" t="s">
        <v>193</v>
      </c>
      <c r="D21" s="34" t="s">
        <v>194</v>
      </c>
      <c r="E21" s="33" t="s">
        <v>189</v>
      </c>
      <c r="F21" s="33" t="s">
        <v>152</v>
      </c>
    </row>
    <row r="22" spans="1:6">
      <c r="A22" s="47">
        <f t="shared" si="0"/>
        <v>21</v>
      </c>
      <c r="B22" s="33" t="s">
        <v>68</v>
      </c>
      <c r="C22" s="33" t="s">
        <v>68</v>
      </c>
      <c r="D22" s="34"/>
      <c r="E22" s="33" t="s">
        <v>195</v>
      </c>
      <c r="F22" s="33" t="s">
        <v>152</v>
      </c>
    </row>
    <row r="23" spans="1:6">
      <c r="A23" s="47">
        <f>IF(B23="","",MAX($A$1,A22)+1)</f>
        <v>22</v>
      </c>
      <c r="B23" s="33" t="s">
        <v>196</v>
      </c>
      <c r="C23" s="33" t="s">
        <v>196</v>
      </c>
      <c r="D23" s="34" t="s">
        <v>197</v>
      </c>
      <c r="E23" s="33" t="s">
        <v>186</v>
      </c>
      <c r="F23" s="33" t="s">
        <v>190</v>
      </c>
    </row>
    <row r="24" spans="1:6">
      <c r="A24" s="47">
        <f t="shared" si="0"/>
        <v>23</v>
      </c>
      <c r="B24" s="33" t="s">
        <v>198</v>
      </c>
      <c r="C24" s="33" t="s">
        <v>198</v>
      </c>
      <c r="D24" s="34" t="s">
        <v>199</v>
      </c>
      <c r="E24" s="33" t="s">
        <v>186</v>
      </c>
      <c r="F24" s="33" t="s">
        <v>190</v>
      </c>
    </row>
    <row r="25" spans="1:6">
      <c r="A25" s="47">
        <f t="shared" si="0"/>
        <v>24</v>
      </c>
      <c r="B25" s="33" t="s">
        <v>200</v>
      </c>
      <c r="C25" s="33" t="s">
        <v>200</v>
      </c>
      <c r="D25" s="34" t="s">
        <v>201</v>
      </c>
      <c r="E25" s="33" t="s">
        <v>186</v>
      </c>
      <c r="F25" s="33" t="s">
        <v>190</v>
      </c>
    </row>
    <row r="26" spans="1:6">
      <c r="A26" s="47">
        <f t="shared" si="0"/>
        <v>25</v>
      </c>
      <c r="B26" s="33" t="s">
        <v>120</v>
      </c>
      <c r="C26" s="33" t="s">
        <v>120</v>
      </c>
      <c r="D26" s="34" t="s">
        <v>202</v>
      </c>
      <c r="E26" s="33" t="s">
        <v>186</v>
      </c>
      <c r="F26" s="33" t="s">
        <v>190</v>
      </c>
    </row>
    <row r="27" spans="1:6">
      <c r="A27" s="47">
        <f t="shared" si="0"/>
        <v>26</v>
      </c>
      <c r="B27" s="33" t="s">
        <v>106</v>
      </c>
      <c r="C27" s="33" t="s">
        <v>106</v>
      </c>
      <c r="D27" s="34" t="s">
        <v>106</v>
      </c>
      <c r="E27" s="33" t="s">
        <v>186</v>
      </c>
      <c r="F27" s="33" t="s">
        <v>190</v>
      </c>
    </row>
    <row r="28" spans="1:6" ht="25.5">
      <c r="A28" s="47">
        <f t="shared" si="0"/>
        <v>27</v>
      </c>
      <c r="B28" s="33" t="s">
        <v>102</v>
      </c>
      <c r="C28" s="53" t="s">
        <v>203</v>
      </c>
      <c r="D28" s="54" t="s">
        <v>204</v>
      </c>
      <c r="E28" s="53" t="s">
        <v>195</v>
      </c>
      <c r="F28" s="53" t="s">
        <v>103</v>
      </c>
    </row>
    <row r="29" spans="1:6" ht="38.25">
      <c r="A29" s="47">
        <f t="shared" si="0"/>
        <v>28</v>
      </c>
      <c r="B29" s="33" t="s">
        <v>114</v>
      </c>
      <c r="C29" s="53" t="s">
        <v>205</v>
      </c>
      <c r="D29" s="54" t="s">
        <v>206</v>
      </c>
      <c r="E29" s="53" t="s">
        <v>148</v>
      </c>
      <c r="F29" s="53" t="s">
        <v>103</v>
      </c>
    </row>
    <row r="30" spans="1:6" ht="15.75">
      <c r="A30" s="47">
        <f t="shared" si="0"/>
        <v>29</v>
      </c>
      <c r="B30" s="7" t="s">
        <v>116</v>
      </c>
      <c r="C30" s="33" t="s">
        <v>207</v>
      </c>
      <c r="D30" s="33" t="s">
        <v>207</v>
      </c>
      <c r="E30" s="53" t="s">
        <v>186</v>
      </c>
      <c r="F30" s="33" t="s">
        <v>190</v>
      </c>
    </row>
    <row r="31" spans="1:6">
      <c r="A31" s="47">
        <f t="shared" ref="A31" si="1">IF(B31="","",MAX($A$1,A30)+1)</f>
        <v>30</v>
      </c>
      <c r="B31" s="33" t="s">
        <v>98</v>
      </c>
      <c r="C31" s="33" t="s">
        <v>208</v>
      </c>
      <c r="D31" s="34" t="s">
        <v>209</v>
      </c>
      <c r="E31" s="33" t="s">
        <v>189</v>
      </c>
      <c r="F31" s="33" t="s">
        <v>176</v>
      </c>
    </row>
    <row r="32" spans="1:6">
      <c r="A32" s="47">
        <f t="shared" si="0"/>
        <v>31</v>
      </c>
      <c r="B32" s="33" t="s">
        <v>115</v>
      </c>
      <c r="C32" s="33" t="s">
        <v>115</v>
      </c>
      <c r="D32" s="34" t="s">
        <v>210</v>
      </c>
      <c r="E32" s="33" t="s">
        <v>167</v>
      </c>
      <c r="F32" s="33" t="s">
        <v>176</v>
      </c>
    </row>
    <row r="33" spans="1:6">
      <c r="A33" s="47">
        <f t="shared" si="0"/>
        <v>32</v>
      </c>
      <c r="B33" s="33" t="s">
        <v>117</v>
      </c>
      <c r="C33" s="33" t="s">
        <v>211</v>
      </c>
      <c r="D33" s="34" t="s">
        <v>212</v>
      </c>
      <c r="E33" s="33" t="s">
        <v>148</v>
      </c>
      <c r="F33" s="33" t="s">
        <v>103</v>
      </c>
    </row>
    <row r="34" spans="1:6">
      <c r="A34" s="74">
        <f t="shared" ref="A34:A50" si="2">IF(B34="","",MAX($A$1,A33)+1)</f>
        <v>33</v>
      </c>
      <c r="B34" s="75" t="s">
        <v>118</v>
      </c>
      <c r="C34" s="75" t="s">
        <v>213</v>
      </c>
      <c r="D34" s="76" t="s">
        <v>214</v>
      </c>
      <c r="E34" s="75" t="s">
        <v>189</v>
      </c>
      <c r="F34" s="75" t="s">
        <v>176</v>
      </c>
    </row>
    <row r="35" spans="1:6" ht="15.75">
      <c r="A35" s="47">
        <f t="shared" si="2"/>
        <v>34</v>
      </c>
      <c r="B35" s="73" t="s">
        <v>124</v>
      </c>
      <c r="C35" s="73" t="s">
        <v>124</v>
      </c>
      <c r="D35" s="73" t="s">
        <v>215</v>
      </c>
      <c r="E35" s="33" t="s">
        <v>189</v>
      </c>
      <c r="F35" s="33" t="s">
        <v>163</v>
      </c>
    </row>
    <row r="36" spans="1:6" ht="15.75">
      <c r="A36" s="47">
        <f t="shared" si="2"/>
        <v>35</v>
      </c>
      <c r="B36" s="73" t="s">
        <v>125</v>
      </c>
      <c r="C36" s="73" t="s">
        <v>125</v>
      </c>
      <c r="D36" s="73" t="s">
        <v>216</v>
      </c>
      <c r="E36" s="33" t="s">
        <v>189</v>
      </c>
      <c r="F36" s="33" t="s">
        <v>163</v>
      </c>
    </row>
    <row r="37" spans="1:6" ht="25.5">
      <c r="A37" s="74">
        <f t="shared" si="2"/>
        <v>36</v>
      </c>
      <c r="B37" s="81" t="s">
        <v>123</v>
      </c>
      <c r="C37" s="78" t="s">
        <v>123</v>
      </c>
      <c r="D37" s="79" t="s">
        <v>217</v>
      </c>
      <c r="E37" s="78" t="s">
        <v>189</v>
      </c>
      <c r="F37" s="78" t="s">
        <v>163</v>
      </c>
    </row>
    <row r="38" spans="1:6" ht="15.75">
      <c r="A38" s="47">
        <f t="shared" si="2"/>
        <v>37</v>
      </c>
      <c r="B38" s="73" t="s">
        <v>218</v>
      </c>
      <c r="C38" s="73" t="s">
        <v>218</v>
      </c>
      <c r="D38" s="77" t="s">
        <v>219</v>
      </c>
      <c r="E38" s="33" t="s">
        <v>189</v>
      </c>
      <c r="F38" s="33" t="s">
        <v>163</v>
      </c>
    </row>
    <row r="39" spans="1:6" ht="15.75">
      <c r="A39" s="47">
        <f t="shared" si="2"/>
        <v>38</v>
      </c>
      <c r="B39" s="73" t="s">
        <v>122</v>
      </c>
      <c r="C39" s="73" t="s">
        <v>122</v>
      </c>
      <c r="D39" s="34" t="s">
        <v>220</v>
      </c>
      <c r="E39" s="33" t="s">
        <v>189</v>
      </c>
      <c r="F39" s="33" t="s">
        <v>163</v>
      </c>
    </row>
    <row r="40" spans="1:6">
      <c r="A40" s="47">
        <f t="shared" si="2"/>
        <v>39</v>
      </c>
      <c r="B40" s="80" t="s">
        <v>126</v>
      </c>
      <c r="C40" s="33" t="s">
        <v>126</v>
      </c>
      <c r="D40" s="34" t="s">
        <v>221</v>
      </c>
      <c r="E40" s="33" t="s">
        <v>189</v>
      </c>
      <c r="F40" s="33" t="s">
        <v>163</v>
      </c>
    </row>
    <row r="41" spans="1:6" ht="25.5">
      <c r="A41" s="47">
        <f t="shared" si="2"/>
        <v>40</v>
      </c>
      <c r="B41" s="80" t="s">
        <v>127</v>
      </c>
      <c r="C41" s="33" t="s">
        <v>127</v>
      </c>
      <c r="D41" s="34" t="s">
        <v>222</v>
      </c>
      <c r="E41" s="33" t="s">
        <v>189</v>
      </c>
      <c r="F41" s="33" t="s">
        <v>163</v>
      </c>
    </row>
    <row r="42" spans="1:6">
      <c r="A42" s="47">
        <f t="shared" si="2"/>
        <v>41</v>
      </c>
      <c r="B42" s="80" t="s">
        <v>121</v>
      </c>
      <c r="C42" s="33" t="s">
        <v>121</v>
      </c>
      <c r="D42" s="34" t="s">
        <v>223</v>
      </c>
      <c r="E42" s="33" t="s">
        <v>189</v>
      </c>
      <c r="F42" s="33" t="s">
        <v>163</v>
      </c>
    </row>
    <row r="43" spans="1:6">
      <c r="A43" s="74">
        <f t="shared" si="2"/>
        <v>42</v>
      </c>
      <c r="B43" s="81" t="s">
        <v>128</v>
      </c>
      <c r="C43" s="78" t="s">
        <v>128</v>
      </c>
      <c r="D43" s="79" t="s">
        <v>224</v>
      </c>
      <c r="E43" s="78" t="s">
        <v>189</v>
      </c>
      <c r="F43" s="78" t="s">
        <v>163</v>
      </c>
    </row>
    <row r="44" spans="1:6">
      <c r="A44" s="47">
        <f t="shared" si="2"/>
        <v>43</v>
      </c>
      <c r="B44" s="80" t="s">
        <v>129</v>
      </c>
      <c r="C44" s="33" t="s">
        <v>129</v>
      </c>
      <c r="D44" s="34" t="s">
        <v>225</v>
      </c>
      <c r="E44" s="33" t="s">
        <v>189</v>
      </c>
      <c r="F44" s="33" t="s">
        <v>163</v>
      </c>
    </row>
    <row r="45" spans="1:6">
      <c r="A45" s="47">
        <f t="shared" si="2"/>
        <v>44</v>
      </c>
      <c r="B45" s="33" t="s">
        <v>130</v>
      </c>
      <c r="C45" s="53" t="s">
        <v>226</v>
      </c>
      <c r="D45" s="54" t="s">
        <v>227</v>
      </c>
      <c r="E45" s="53" t="s">
        <v>148</v>
      </c>
      <c r="F45" s="53" t="s">
        <v>190</v>
      </c>
    </row>
    <row r="46" spans="1:6">
      <c r="A46" s="32" t="str">
        <f t="shared" si="2"/>
        <v/>
      </c>
      <c r="B46" s="37"/>
      <c r="C46" s="37"/>
      <c r="D46" s="38"/>
      <c r="E46" s="37"/>
      <c r="F46" s="37"/>
    </row>
    <row r="47" spans="1:6">
      <c r="A47" s="32" t="str">
        <f t="shared" si="2"/>
        <v/>
      </c>
      <c r="B47" s="37"/>
      <c r="C47" s="37"/>
      <c r="D47" s="38"/>
      <c r="E47" s="37"/>
      <c r="F47" s="37"/>
    </row>
    <row r="48" spans="1:6">
      <c r="A48" s="32" t="str">
        <f t="shared" si="2"/>
        <v/>
      </c>
      <c r="B48" s="37"/>
      <c r="C48" s="37"/>
      <c r="D48" s="38"/>
      <c r="E48" s="37"/>
      <c r="F48" s="37"/>
    </row>
    <row r="49" spans="1:6">
      <c r="A49" s="32" t="str">
        <f t="shared" si="2"/>
        <v/>
      </c>
      <c r="B49" s="37"/>
      <c r="C49" s="37"/>
      <c r="D49" s="38"/>
      <c r="E49" s="37"/>
      <c r="F49" s="37"/>
    </row>
    <row r="50" spans="1:6">
      <c r="A50" s="32" t="str">
        <f t="shared" si="2"/>
        <v/>
      </c>
      <c r="E50" s="37"/>
      <c r="F50" s="37"/>
    </row>
    <row r="51" spans="1:6">
      <c r="A51" s="41"/>
      <c r="B51" s="42"/>
      <c r="C51" s="42"/>
      <c r="D51" s="43"/>
      <c r="E51" s="44"/>
      <c r="F51" s="41"/>
    </row>
  </sheetData>
  <autoFilter ref="B1:F50" xr:uid="{00000000-0001-0000-0200-000000000000}">
    <sortState xmlns:xlrd2="http://schemas.microsoft.com/office/spreadsheetml/2017/richdata2" ref="B2:F50">
      <sortCondition ref="E1:E50"/>
    </sortState>
  </autoFilter>
  <pageMargins left="1" right="1" top="1" bottom="1" header="0.25" footer="0.25"/>
  <pageSetup orientation="portrait" r:id="rId1"/>
  <headerFooter>
    <oddFooter>&amp;C&amp;"Helvetica Neue,Regular"&amp;12&amp;K000000&amp;P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F9E6047E-0177-4DA4-B92E-0FB78029FCB9}">
          <x14:formula1>
            <xm:f>'Danh mục'!$A$2:$A$8</xm:f>
          </x14:formula1>
          <xm:sqref>F2:F34 F45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4AED-CE50-4E03-97A6-F7CB0D5D53BB}">
  <dimension ref="A1:G8"/>
  <sheetViews>
    <sheetView workbookViewId="0">
      <selection activeCell="C16" sqref="C16"/>
    </sheetView>
  </sheetViews>
  <sheetFormatPr defaultColWidth="8.875" defaultRowHeight="15.75"/>
  <cols>
    <col min="1" max="1" width="30.625" style="50" bestFit="1" customWidth="1"/>
    <col min="2" max="2" width="10.25" style="50" customWidth="1"/>
    <col min="3" max="3" width="39.125" style="50" bestFit="1" customWidth="1"/>
    <col min="4" max="4" width="8.875" style="50"/>
    <col min="5" max="5" width="10.875" style="50" bestFit="1" customWidth="1"/>
    <col min="6" max="6" width="8.875" style="50"/>
    <col min="7" max="7" width="11" style="50" bestFit="1" customWidth="1"/>
    <col min="8" max="16384" width="8.875" style="50"/>
  </cols>
  <sheetData>
    <row r="1" spans="1:7">
      <c r="A1" s="50" t="s">
        <v>228</v>
      </c>
      <c r="C1" s="50" t="s">
        <v>229</v>
      </c>
      <c r="G1" s="50" t="s">
        <v>138</v>
      </c>
    </row>
    <row r="2" spans="1:7">
      <c r="A2" s="50" t="s">
        <v>176</v>
      </c>
      <c r="E2" s="50" t="s">
        <v>140</v>
      </c>
      <c r="G2" s="50" t="s">
        <v>139</v>
      </c>
    </row>
    <row r="3" spans="1:7">
      <c r="A3" s="50" t="s">
        <v>190</v>
      </c>
      <c r="E3" s="50" t="s">
        <v>141</v>
      </c>
      <c r="G3" s="50" t="s">
        <v>136</v>
      </c>
    </row>
    <row r="4" spans="1:7">
      <c r="A4" s="50" t="s">
        <v>103</v>
      </c>
      <c r="E4" s="50" t="s">
        <v>141</v>
      </c>
    </row>
    <row r="5" spans="1:7">
      <c r="A5" s="50" t="s">
        <v>152</v>
      </c>
      <c r="E5" s="50" t="s">
        <v>137</v>
      </c>
    </row>
    <row r="6" spans="1:7">
      <c r="A6" s="50" t="s">
        <v>158</v>
      </c>
      <c r="E6" s="50" t="s">
        <v>230</v>
      </c>
    </row>
    <row r="7" spans="1:7">
      <c r="A7" s="50" t="s">
        <v>163</v>
      </c>
      <c r="C7" s="50" t="s">
        <v>231</v>
      </c>
    </row>
    <row r="8" spans="1:7">
      <c r="A8" s="50" t="s">
        <v>149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215B9-8EBA-4B96-A92A-3085362B08F1}">
  <dimension ref="A1:Q27"/>
  <sheetViews>
    <sheetView workbookViewId="0">
      <selection activeCell="E30" sqref="E30"/>
    </sheetView>
  </sheetViews>
  <sheetFormatPr defaultColWidth="8.875" defaultRowHeight="15.75"/>
  <cols>
    <col min="1" max="1" width="16.625" customWidth="1"/>
    <col min="2" max="2" width="26.375" customWidth="1"/>
    <col min="3" max="3" width="15.5" customWidth="1"/>
    <col min="5" max="5" width="9.875" customWidth="1"/>
  </cols>
  <sheetData>
    <row r="1" spans="1:17" s="4" customFormat="1">
      <c r="A1" s="5" t="s">
        <v>232</v>
      </c>
      <c r="B1" s="5" t="s">
        <v>233</v>
      </c>
      <c r="C1" s="5" t="s">
        <v>234</v>
      </c>
      <c r="D1" s="5" t="s">
        <v>235</v>
      </c>
      <c r="E1" s="5" t="s">
        <v>236</v>
      </c>
      <c r="F1" s="5">
        <v>1</v>
      </c>
      <c r="G1" s="5">
        <v>2</v>
      </c>
      <c r="H1" s="5">
        <v>3</v>
      </c>
      <c r="I1" s="5">
        <v>4</v>
      </c>
      <c r="J1" s="5">
        <v>5</v>
      </c>
      <c r="K1" s="5">
        <v>6</v>
      </c>
      <c r="L1" s="5">
        <v>7</v>
      </c>
      <c r="M1" s="5">
        <v>8</v>
      </c>
      <c r="N1" s="5">
        <v>9</v>
      </c>
      <c r="O1" s="5">
        <v>10</v>
      </c>
      <c r="P1" s="5">
        <v>11</v>
      </c>
      <c r="Q1" s="5">
        <v>12</v>
      </c>
    </row>
    <row r="2" spans="1:17">
      <c r="A2" s="7" t="str">
        <f>VLOOKUP($B2,'DS Nhân viên'!$C:$D,2,0)</f>
        <v>P.Kỹ thuật IBS</v>
      </c>
      <c r="B2" s="7" t="str" cm="1">
        <f t="array" ref="B2:B27">_xlfn.UNIQUE('Resource Plan'!B2:B88)</f>
        <v>Trịnh Ngọc Tâm</v>
      </c>
      <c r="C2" s="7" t="str">
        <f>A2&amp;VLOOKUP($B2,'DS Nhân viên'!$C:$W,6,0)</f>
        <v>P.Kỹ thuật IBS</v>
      </c>
      <c r="D2" s="5">
        <v>2025</v>
      </c>
      <c r="E2" s="6" t="e">
        <f t="shared" ref="E2:E17" si="0">AVERAGE(F2:Q2)</f>
        <v>#REF!</v>
      </c>
      <c r="F2" s="8" t="e">
        <f>SUMIF('Resource Plan'!$B:$B,$B2,'Resource Plan'!#REF!)</f>
        <v>#REF!</v>
      </c>
      <c r="G2" s="8" t="e">
        <f>SUMIF('Resource Plan'!$B:$B,$B2,'Resource Plan'!#REF!)</f>
        <v>#REF!</v>
      </c>
      <c r="H2" s="8" t="e">
        <f>SUMIF('Resource Plan'!$B:$B,$B2,'Resource Plan'!#REF!)</f>
        <v>#REF!</v>
      </c>
      <c r="I2" s="8" t="e">
        <f>SUMIF('Resource Plan'!$B:$B,$B2,'Resource Plan'!#REF!)</f>
        <v>#REF!</v>
      </c>
      <c r="J2" s="8" t="e">
        <f>SUMIF('Resource Plan'!$B:$B,$B2,'Resource Plan'!#REF!)</f>
        <v>#REF!</v>
      </c>
      <c r="K2" s="8" t="e">
        <f>SUMIF('Resource Plan'!$B:$B,$B2,'Resource Plan'!#REF!)</f>
        <v>#REF!</v>
      </c>
      <c r="L2" s="8" t="e">
        <f>SUMIF('Resource Plan'!$B:$B,$B2,'Resource Plan'!#REF!)</f>
        <v>#REF!</v>
      </c>
      <c r="M2" s="8" t="e">
        <f>SUMIF('Resource Plan'!$B:$B,$B2,'Resource Plan'!#REF!)</f>
        <v>#REF!</v>
      </c>
      <c r="N2" s="8" t="e">
        <f>SUMIF('Resource Plan'!$B:$B,$B2,'Resource Plan'!#REF!)</f>
        <v>#REF!</v>
      </c>
      <c r="O2" s="8" t="e">
        <f>SUMIF('Resource Plan'!$B:$B,$B2,'Resource Plan'!#REF!)</f>
        <v>#REF!</v>
      </c>
      <c r="P2" s="8" t="e">
        <f>SUMIF('Resource Plan'!$B:$B,$B2,'Resource Plan'!#REF!)</f>
        <v>#REF!</v>
      </c>
      <c r="Q2" s="8" t="e">
        <f>SUMIF('Resource Plan'!$B:$B,$B2,'Resource Plan'!#REF!)</f>
        <v>#REF!</v>
      </c>
    </row>
    <row r="3" spans="1:17">
      <c r="A3" s="7" t="str">
        <f>VLOOKUP(B3,'DS Nhân viên'!$C:$D,2,0)</f>
        <v>P.Nghiệp vụ IBS</v>
      </c>
      <c r="B3" s="7" t="str">
        <v>Dương Hồng Ngọc</v>
      </c>
      <c r="C3" s="7" t="str">
        <f>A3&amp;VLOOKUP($B3,'DS Nhân viên'!$C:$W,6,0)</f>
        <v>P.Nghiệp vụ IBS</v>
      </c>
      <c r="D3" s="5">
        <v>2025</v>
      </c>
      <c r="E3" s="6" t="e">
        <f t="shared" si="0"/>
        <v>#REF!</v>
      </c>
      <c r="F3" s="8" t="e">
        <f>SUMIF('Resource Plan'!$B:$B,$B3,'Resource Plan'!#REF!)</f>
        <v>#REF!</v>
      </c>
      <c r="G3" s="8" t="e">
        <f>SUMIF('Resource Plan'!$B:$B,$B3,'Resource Plan'!#REF!)</f>
        <v>#REF!</v>
      </c>
      <c r="H3" s="8" t="e">
        <f>SUMIF('Resource Plan'!$B:$B,$B3,'Resource Plan'!#REF!)</f>
        <v>#REF!</v>
      </c>
      <c r="I3" s="8" t="e">
        <f>SUMIF('Resource Plan'!$B:$B,$B3,'Resource Plan'!#REF!)</f>
        <v>#REF!</v>
      </c>
      <c r="J3" s="8" t="e">
        <f>SUMIF('Resource Plan'!$B:$B,$B3,'Resource Plan'!#REF!)</f>
        <v>#REF!</v>
      </c>
      <c r="K3" s="8" t="e">
        <f>SUMIF('Resource Plan'!$B:$B,$B3,'Resource Plan'!#REF!)</f>
        <v>#REF!</v>
      </c>
      <c r="L3" s="8" t="e">
        <f>SUMIF('Resource Plan'!$B:$B,$B3,'Resource Plan'!#REF!)</f>
        <v>#REF!</v>
      </c>
      <c r="M3" s="8" t="e">
        <f>SUMIF('Resource Plan'!$B:$B,$B3,'Resource Plan'!#REF!)</f>
        <v>#REF!</v>
      </c>
      <c r="N3" s="8" t="e">
        <f>SUMIF('Resource Plan'!$B:$B,$B3,'Resource Plan'!#REF!)</f>
        <v>#REF!</v>
      </c>
      <c r="O3" s="8" t="e">
        <f>SUMIF('Resource Plan'!$B:$B,$B3,'Resource Plan'!#REF!)</f>
        <v>#REF!</v>
      </c>
      <c r="P3" s="8" t="e">
        <f>SUMIF('Resource Plan'!$B:$B,$B3,'Resource Plan'!#REF!)</f>
        <v>#REF!</v>
      </c>
      <c r="Q3" s="8" t="e">
        <f>SUMIF('Resource Plan'!$B:$B,$B3,'Resource Plan'!#REF!)</f>
        <v>#REF!</v>
      </c>
    </row>
    <row r="4" spans="1:17">
      <c r="A4" s="7" t="str">
        <f>VLOOKUP(B4,'DS Nhân viên'!$C:$D,2,0)</f>
        <v>P.Kỹ thuật IBS</v>
      </c>
      <c r="B4" s="7" t="str">
        <v>Lê Minh Long</v>
      </c>
      <c r="C4" s="7" t="str">
        <f>A4&amp;VLOOKUP($B4,'DS Nhân viên'!$C:$W,6,0)</f>
        <v>P.Kỹ thuật IBS</v>
      </c>
      <c r="D4" s="5">
        <v>2025</v>
      </c>
      <c r="E4" s="6" t="e">
        <f t="shared" si="0"/>
        <v>#REF!</v>
      </c>
      <c r="F4" s="8" t="e">
        <f>SUMIF('Resource Plan'!$B:$B,$B4,'Resource Plan'!#REF!)</f>
        <v>#REF!</v>
      </c>
      <c r="G4" s="8" t="e">
        <f>SUMIF('Resource Plan'!$B:$B,$B4,'Resource Plan'!#REF!)</f>
        <v>#REF!</v>
      </c>
      <c r="H4" s="8" t="e">
        <f>SUMIF('Resource Plan'!$B:$B,$B4,'Resource Plan'!#REF!)</f>
        <v>#REF!</v>
      </c>
      <c r="I4" s="8" t="e">
        <f>SUMIF('Resource Plan'!$B:$B,$B4,'Resource Plan'!#REF!)</f>
        <v>#REF!</v>
      </c>
      <c r="J4" s="8" t="e">
        <f>SUMIF('Resource Plan'!$B:$B,$B4,'Resource Plan'!#REF!)</f>
        <v>#REF!</v>
      </c>
      <c r="K4" s="8" t="e">
        <f>SUMIF('Resource Plan'!$B:$B,$B4,'Resource Plan'!#REF!)</f>
        <v>#REF!</v>
      </c>
      <c r="L4" s="8" t="e">
        <f>SUMIF('Resource Plan'!$B:$B,$B4,'Resource Plan'!#REF!)</f>
        <v>#REF!</v>
      </c>
      <c r="M4" s="8" t="e">
        <f>SUMIF('Resource Plan'!$B:$B,$B4,'Resource Plan'!#REF!)</f>
        <v>#REF!</v>
      </c>
      <c r="N4" s="8" t="e">
        <f>SUMIF('Resource Plan'!$B:$B,$B4,'Resource Plan'!#REF!)</f>
        <v>#REF!</v>
      </c>
      <c r="O4" s="8" t="e">
        <f>SUMIF('Resource Plan'!$B:$B,$B4,'Resource Plan'!#REF!)</f>
        <v>#REF!</v>
      </c>
      <c r="P4" s="8" t="e">
        <f>SUMIF('Resource Plan'!$B:$B,$B4,'Resource Plan'!#REF!)</f>
        <v>#REF!</v>
      </c>
      <c r="Q4" s="8" t="e">
        <f>SUMIF('Resource Plan'!$B:$B,$B4,'Resource Plan'!#REF!)</f>
        <v>#REF!</v>
      </c>
    </row>
    <row r="5" spans="1:17">
      <c r="A5" s="7" t="str">
        <f>VLOOKUP(B5,'DS Nhân viên'!$C:$D,2,0)</f>
        <v>P.Kỹ thuật IBS</v>
      </c>
      <c r="B5" s="7" t="str">
        <v>Lê Chí Công</v>
      </c>
      <c r="C5" s="7" t="str">
        <f>A5&amp;VLOOKUP($B5,'DS Nhân viên'!$C:$W,6,0)</f>
        <v>P.Kỹ thuật IBS</v>
      </c>
      <c r="D5" s="5">
        <v>2025</v>
      </c>
      <c r="E5" s="6" t="e">
        <f t="shared" si="0"/>
        <v>#REF!</v>
      </c>
      <c r="F5" s="8" t="e">
        <f>SUMIF('Resource Plan'!$B:$B,$B5,'Resource Plan'!#REF!)</f>
        <v>#REF!</v>
      </c>
      <c r="G5" s="8" t="e">
        <f>SUMIF('Resource Plan'!$B:$B,$B5,'Resource Plan'!#REF!)</f>
        <v>#REF!</v>
      </c>
      <c r="H5" s="8" t="e">
        <f>SUMIF('Resource Plan'!$B:$B,$B5,'Resource Plan'!#REF!)</f>
        <v>#REF!</v>
      </c>
      <c r="I5" s="8" t="e">
        <f>SUMIF('Resource Plan'!$B:$B,$B5,'Resource Plan'!#REF!)</f>
        <v>#REF!</v>
      </c>
      <c r="J5" s="8" t="e">
        <f>SUMIF('Resource Plan'!$B:$B,$B5,'Resource Plan'!#REF!)</f>
        <v>#REF!</v>
      </c>
      <c r="K5" s="8" t="e">
        <f>SUMIF('Resource Plan'!$B:$B,$B5,'Resource Plan'!#REF!)</f>
        <v>#REF!</v>
      </c>
      <c r="L5" s="8" t="e">
        <f>SUMIF('Resource Plan'!$B:$B,$B5,'Resource Plan'!#REF!)</f>
        <v>#REF!</v>
      </c>
      <c r="M5" s="8" t="e">
        <f>SUMIF('Resource Plan'!$B:$B,$B5,'Resource Plan'!#REF!)</f>
        <v>#REF!</v>
      </c>
      <c r="N5" s="8" t="e">
        <f>SUMIF('Resource Plan'!$B:$B,$B5,'Resource Plan'!#REF!)</f>
        <v>#REF!</v>
      </c>
      <c r="O5" s="8" t="e">
        <f>SUMIF('Resource Plan'!$B:$B,$B5,'Resource Plan'!#REF!)</f>
        <v>#REF!</v>
      </c>
      <c r="P5" s="8" t="e">
        <f>SUMIF('Resource Plan'!$B:$B,$B5,'Resource Plan'!#REF!)</f>
        <v>#REF!</v>
      </c>
      <c r="Q5" s="8" t="e">
        <f>SUMIF('Resource Plan'!$B:$B,$B5,'Resource Plan'!#REF!)</f>
        <v>#REF!</v>
      </c>
    </row>
    <row r="6" spans="1:17">
      <c r="A6" s="7" t="str">
        <f>VLOOKUP(B6,'DS Nhân viên'!$C:$D,2,0)</f>
        <v>P.Nghiệp vụ IBS</v>
      </c>
      <c r="B6" s="7" t="str">
        <v>Nguyễn Mạnh Thắng</v>
      </c>
      <c r="C6" s="7" t="str">
        <f>A6&amp;VLOOKUP($B6,'DS Nhân viên'!$C:$W,6,0)</f>
        <v>P.Nghiệp vụ IBS</v>
      </c>
      <c r="D6" s="5">
        <v>2025</v>
      </c>
      <c r="E6" s="6" t="e">
        <f t="shared" si="0"/>
        <v>#REF!</v>
      </c>
      <c r="F6" s="8" t="e">
        <f>SUMIF('Resource Plan'!$B:$B,$B6,'Resource Plan'!#REF!)</f>
        <v>#REF!</v>
      </c>
      <c r="G6" s="8" t="e">
        <f>SUMIF('Resource Plan'!$B:$B,$B6,'Resource Plan'!#REF!)</f>
        <v>#REF!</v>
      </c>
      <c r="H6" s="8" t="e">
        <f>SUMIF('Resource Plan'!$B:$B,$B6,'Resource Plan'!#REF!)</f>
        <v>#REF!</v>
      </c>
      <c r="I6" s="8" t="e">
        <f>SUMIF('Resource Plan'!$B:$B,$B6,'Resource Plan'!#REF!)</f>
        <v>#REF!</v>
      </c>
      <c r="J6" s="8" t="e">
        <f>SUMIF('Resource Plan'!$B:$B,$B6,'Resource Plan'!#REF!)</f>
        <v>#REF!</v>
      </c>
      <c r="K6" s="8" t="e">
        <f>SUMIF('Resource Plan'!$B:$B,$B6,'Resource Plan'!#REF!)</f>
        <v>#REF!</v>
      </c>
      <c r="L6" s="8" t="e">
        <f>SUMIF('Resource Plan'!$B:$B,$B6,'Resource Plan'!#REF!)</f>
        <v>#REF!</v>
      </c>
      <c r="M6" s="8" t="e">
        <f>SUMIF('Resource Plan'!$B:$B,$B6,'Resource Plan'!#REF!)</f>
        <v>#REF!</v>
      </c>
      <c r="N6" s="8" t="e">
        <f>SUMIF('Resource Plan'!$B:$B,$B6,'Resource Plan'!#REF!)</f>
        <v>#REF!</v>
      </c>
      <c r="O6" s="8" t="e">
        <f>SUMIF('Resource Plan'!$B:$B,$B6,'Resource Plan'!#REF!)</f>
        <v>#REF!</v>
      </c>
      <c r="P6" s="8" t="e">
        <f>SUMIF('Resource Plan'!$B:$B,$B6,'Resource Plan'!#REF!)</f>
        <v>#REF!</v>
      </c>
      <c r="Q6" s="8" t="e">
        <f>SUMIF('Resource Plan'!$B:$B,$B6,'Resource Plan'!#REF!)</f>
        <v>#REF!</v>
      </c>
    </row>
    <row r="7" spans="1:17">
      <c r="A7" s="7" t="str">
        <f>VLOOKUP(B7,'DS Nhân viên'!$C:$D,2,0)</f>
        <v>P.Kỹ thuật IBS</v>
      </c>
      <c r="B7" s="7" t="str">
        <v>Nguyễn Việt Lâm</v>
      </c>
      <c r="C7" s="7" t="str">
        <f>A7&amp;VLOOKUP($B7,'DS Nhân viên'!$C:$W,6,0)</f>
        <v>P.Kỹ thuật IBS</v>
      </c>
      <c r="D7" s="5">
        <v>2025</v>
      </c>
      <c r="E7" s="6" t="e">
        <f t="shared" si="0"/>
        <v>#REF!</v>
      </c>
      <c r="F7" s="8" t="e">
        <f>SUMIF('Resource Plan'!$B:$B,$B7,'Resource Plan'!#REF!)</f>
        <v>#REF!</v>
      </c>
      <c r="G7" s="8" t="e">
        <f>SUMIF('Resource Plan'!$B:$B,$B7,'Resource Plan'!#REF!)</f>
        <v>#REF!</v>
      </c>
      <c r="H7" s="8" t="e">
        <f>SUMIF('Resource Plan'!$B:$B,$B7,'Resource Plan'!#REF!)</f>
        <v>#REF!</v>
      </c>
      <c r="I7" s="8" t="e">
        <f>SUMIF('Resource Plan'!$B:$B,$B7,'Resource Plan'!#REF!)</f>
        <v>#REF!</v>
      </c>
      <c r="J7" s="8" t="e">
        <f>SUMIF('Resource Plan'!$B:$B,$B7,'Resource Plan'!#REF!)</f>
        <v>#REF!</v>
      </c>
      <c r="K7" s="8" t="e">
        <f>SUMIF('Resource Plan'!$B:$B,$B7,'Resource Plan'!#REF!)</f>
        <v>#REF!</v>
      </c>
      <c r="L7" s="8" t="e">
        <f>SUMIF('Resource Plan'!$B:$B,$B7,'Resource Plan'!#REF!)</f>
        <v>#REF!</v>
      </c>
      <c r="M7" s="8" t="e">
        <f>SUMIF('Resource Plan'!$B:$B,$B7,'Resource Plan'!#REF!)</f>
        <v>#REF!</v>
      </c>
      <c r="N7" s="8" t="e">
        <f>SUMIF('Resource Plan'!$B:$B,$B7,'Resource Plan'!#REF!)</f>
        <v>#REF!</v>
      </c>
      <c r="O7" s="8" t="e">
        <f>SUMIF('Resource Plan'!$B:$B,$B7,'Resource Plan'!#REF!)</f>
        <v>#REF!</v>
      </c>
      <c r="P7" s="8" t="e">
        <f>SUMIF('Resource Plan'!$B:$B,$B7,'Resource Plan'!#REF!)</f>
        <v>#REF!</v>
      </c>
      <c r="Q7" s="8" t="e">
        <f>SUMIF('Resource Plan'!$B:$B,$B7,'Resource Plan'!#REF!)</f>
        <v>#REF!</v>
      </c>
    </row>
    <row r="8" spans="1:17">
      <c r="A8" s="7" t="str">
        <f>VLOOKUP(B8,'DS Nhân viên'!$C:$D,2,0)</f>
        <v>P.Nghiệp vụ IBS</v>
      </c>
      <c r="B8" s="7" t="str">
        <v>Nguyễn Hoàng Tuấn Anh</v>
      </c>
      <c r="C8" s="7" t="str">
        <f>A8&amp;VLOOKUP($B8,'DS Nhân viên'!$C:$W,6,0)</f>
        <v>P.Nghiệp vụ IBS</v>
      </c>
      <c r="D8" s="5">
        <v>2025</v>
      </c>
      <c r="E8" s="6" t="e">
        <f t="shared" si="0"/>
        <v>#REF!</v>
      </c>
      <c r="F8" s="8" t="e">
        <f>SUMIF('Resource Plan'!$B:$B,$B8,'Resource Plan'!#REF!)</f>
        <v>#REF!</v>
      </c>
      <c r="G8" s="8" t="e">
        <f>SUMIF('Resource Plan'!$B:$B,$B8,'Resource Plan'!#REF!)</f>
        <v>#REF!</v>
      </c>
      <c r="H8" s="8" t="e">
        <f>SUMIF('Resource Plan'!$B:$B,$B8,'Resource Plan'!#REF!)</f>
        <v>#REF!</v>
      </c>
      <c r="I8" s="8" t="e">
        <f>SUMIF('Resource Plan'!$B:$B,$B8,'Resource Plan'!#REF!)</f>
        <v>#REF!</v>
      </c>
      <c r="J8" s="8" t="e">
        <f>SUMIF('Resource Plan'!$B:$B,$B8,'Resource Plan'!#REF!)</f>
        <v>#REF!</v>
      </c>
      <c r="K8" s="8" t="e">
        <f>SUMIF('Resource Plan'!$B:$B,$B8,'Resource Plan'!#REF!)</f>
        <v>#REF!</v>
      </c>
      <c r="L8" s="8" t="e">
        <f>SUMIF('Resource Plan'!$B:$B,$B8,'Resource Plan'!#REF!)</f>
        <v>#REF!</v>
      </c>
      <c r="M8" s="8" t="e">
        <f>SUMIF('Resource Plan'!$B:$B,$B8,'Resource Plan'!#REF!)</f>
        <v>#REF!</v>
      </c>
      <c r="N8" s="8" t="e">
        <f>SUMIF('Resource Plan'!$B:$B,$B8,'Resource Plan'!#REF!)</f>
        <v>#REF!</v>
      </c>
      <c r="O8" s="8" t="e">
        <f>SUMIF('Resource Plan'!$B:$B,$B8,'Resource Plan'!#REF!)</f>
        <v>#REF!</v>
      </c>
      <c r="P8" s="8" t="e">
        <f>SUMIF('Resource Plan'!$B:$B,$B8,'Resource Plan'!#REF!)</f>
        <v>#REF!</v>
      </c>
      <c r="Q8" s="8" t="e">
        <f>SUMIF('Resource Plan'!$B:$B,$B8,'Resource Plan'!#REF!)</f>
        <v>#REF!</v>
      </c>
    </row>
    <row r="9" spans="1:17">
      <c r="A9" s="7" t="str">
        <f>VLOOKUP(B9,'DS Nhân viên'!$C:$D,2,0)</f>
        <v>P.Nghiệp vụ IBS</v>
      </c>
      <c r="B9" s="7" t="str">
        <v>Hoàng Tuấn Anh</v>
      </c>
      <c r="C9" s="7" t="str">
        <f>A9&amp;VLOOKUP($B9,'DS Nhân viên'!$C:$W,6,0)</f>
        <v>P.Nghiệp vụ IBS</v>
      </c>
      <c r="D9" s="5">
        <v>2025</v>
      </c>
      <c r="E9" s="6" t="e">
        <f t="shared" si="0"/>
        <v>#REF!</v>
      </c>
      <c r="F9" s="8" t="e">
        <f>SUMIF('Resource Plan'!$B:$B,$B9,'Resource Plan'!#REF!)</f>
        <v>#REF!</v>
      </c>
      <c r="G9" s="8" t="e">
        <f>SUMIF('Resource Plan'!$B:$B,$B9,'Resource Plan'!#REF!)</f>
        <v>#REF!</v>
      </c>
      <c r="H9" s="8" t="e">
        <f>SUMIF('Resource Plan'!$B:$B,$B9,'Resource Plan'!#REF!)</f>
        <v>#REF!</v>
      </c>
      <c r="I9" s="8" t="e">
        <f>SUMIF('Resource Plan'!$B:$B,$B9,'Resource Plan'!#REF!)</f>
        <v>#REF!</v>
      </c>
      <c r="J9" s="8" t="e">
        <f>SUMIF('Resource Plan'!$B:$B,$B9,'Resource Plan'!#REF!)</f>
        <v>#REF!</v>
      </c>
      <c r="K9" s="8" t="e">
        <f>SUMIF('Resource Plan'!$B:$B,$B9,'Resource Plan'!#REF!)</f>
        <v>#REF!</v>
      </c>
      <c r="L9" s="8" t="e">
        <f>SUMIF('Resource Plan'!$B:$B,$B9,'Resource Plan'!#REF!)</f>
        <v>#REF!</v>
      </c>
      <c r="M9" s="8" t="e">
        <f>SUMIF('Resource Plan'!$B:$B,$B9,'Resource Plan'!#REF!)</f>
        <v>#REF!</v>
      </c>
      <c r="N9" s="8" t="e">
        <f>SUMIF('Resource Plan'!$B:$B,$B9,'Resource Plan'!#REF!)</f>
        <v>#REF!</v>
      </c>
      <c r="O9" s="8" t="e">
        <f>SUMIF('Resource Plan'!$B:$B,$B9,'Resource Plan'!#REF!)</f>
        <v>#REF!</v>
      </c>
      <c r="P9" s="8" t="e">
        <f>SUMIF('Resource Plan'!$B:$B,$B9,'Resource Plan'!#REF!)</f>
        <v>#REF!</v>
      </c>
      <c r="Q9" s="8" t="e">
        <f>SUMIF('Resource Plan'!$B:$B,$B9,'Resource Plan'!#REF!)</f>
        <v>#REF!</v>
      </c>
    </row>
    <row r="10" spans="1:17">
      <c r="A10" s="7" t="str">
        <f>VLOOKUP(B10,'DS Nhân viên'!$C:$D,2,0)</f>
        <v>P.Kỹ thuật IBS</v>
      </c>
      <c r="B10" s="7" t="str">
        <v>Ngô Thị Nhung</v>
      </c>
      <c r="C10" s="7" t="str">
        <f>A10&amp;VLOOKUP($B10,'DS Nhân viên'!$C:$W,6,0)</f>
        <v>P.Kỹ thuật IBS</v>
      </c>
      <c r="D10" s="5">
        <v>2025</v>
      </c>
      <c r="E10" s="6" t="e">
        <f t="shared" si="0"/>
        <v>#REF!</v>
      </c>
      <c r="F10" s="8" t="e">
        <f>SUMIF('Resource Plan'!$B:$B,$B10,'Resource Plan'!#REF!)</f>
        <v>#REF!</v>
      </c>
      <c r="G10" s="8" t="e">
        <f>SUMIF('Resource Plan'!$B:$B,$B10,'Resource Plan'!#REF!)</f>
        <v>#REF!</v>
      </c>
      <c r="H10" s="8" t="e">
        <f>SUMIF('Resource Plan'!$B:$B,$B10,'Resource Plan'!#REF!)</f>
        <v>#REF!</v>
      </c>
      <c r="I10" s="8" t="e">
        <f>SUMIF('Resource Plan'!$B:$B,$B10,'Resource Plan'!#REF!)</f>
        <v>#REF!</v>
      </c>
      <c r="J10" s="8" t="e">
        <f>SUMIF('Resource Plan'!$B:$B,$B10,'Resource Plan'!#REF!)</f>
        <v>#REF!</v>
      </c>
      <c r="K10" s="8" t="e">
        <f>SUMIF('Resource Plan'!$B:$B,$B10,'Resource Plan'!#REF!)</f>
        <v>#REF!</v>
      </c>
      <c r="L10" s="8" t="e">
        <f>SUMIF('Resource Plan'!$B:$B,$B10,'Resource Plan'!#REF!)</f>
        <v>#REF!</v>
      </c>
      <c r="M10" s="8" t="e">
        <f>SUMIF('Resource Plan'!$B:$B,$B10,'Resource Plan'!#REF!)</f>
        <v>#REF!</v>
      </c>
      <c r="N10" s="8" t="e">
        <f>SUMIF('Resource Plan'!$B:$B,$B10,'Resource Plan'!#REF!)</f>
        <v>#REF!</v>
      </c>
      <c r="O10" s="8" t="e">
        <f>SUMIF('Resource Plan'!$B:$B,$B10,'Resource Plan'!#REF!)</f>
        <v>#REF!</v>
      </c>
      <c r="P10" s="8" t="e">
        <f>SUMIF('Resource Plan'!$B:$B,$B10,'Resource Plan'!#REF!)</f>
        <v>#REF!</v>
      </c>
      <c r="Q10" s="8" t="e">
        <f>SUMIF('Resource Plan'!$B:$B,$B10,'Resource Plan'!#REF!)</f>
        <v>#REF!</v>
      </c>
    </row>
    <row r="11" spans="1:17">
      <c r="A11" s="7" t="str">
        <f>VLOOKUP(B11,'DS Nhân viên'!$C:$D,2,0)</f>
        <v>P.Nghiệp vụ IBS</v>
      </c>
      <c r="B11" s="7" t="str">
        <v>Đinh Đức Minh</v>
      </c>
      <c r="C11" s="7" t="str">
        <f>A11&amp;VLOOKUP($B11,'DS Nhân viên'!$C:$W,6,0)</f>
        <v>P.Nghiệp vụ IBS</v>
      </c>
      <c r="D11" s="5">
        <v>2025</v>
      </c>
      <c r="E11" s="6" t="e">
        <f t="shared" si="0"/>
        <v>#REF!</v>
      </c>
      <c r="F11" s="8" t="e">
        <f>SUMIF('Resource Plan'!$B:$B,$B11,'Resource Plan'!#REF!)</f>
        <v>#REF!</v>
      </c>
      <c r="G11" s="8" t="e">
        <f>SUMIF('Resource Plan'!$B:$B,$B11,'Resource Plan'!#REF!)</f>
        <v>#REF!</v>
      </c>
      <c r="H11" s="8" t="e">
        <f>SUMIF('Resource Plan'!$B:$B,$B11,'Resource Plan'!#REF!)</f>
        <v>#REF!</v>
      </c>
      <c r="I11" s="8" t="e">
        <f>SUMIF('Resource Plan'!$B:$B,$B11,'Resource Plan'!#REF!)</f>
        <v>#REF!</v>
      </c>
      <c r="J11" s="8" t="e">
        <f>SUMIF('Resource Plan'!$B:$B,$B11,'Resource Plan'!#REF!)</f>
        <v>#REF!</v>
      </c>
      <c r="K11" s="8" t="e">
        <f>SUMIF('Resource Plan'!$B:$B,$B11,'Resource Plan'!#REF!)</f>
        <v>#REF!</v>
      </c>
      <c r="L11" s="8" t="e">
        <f>SUMIF('Resource Plan'!$B:$B,$B11,'Resource Plan'!#REF!)</f>
        <v>#REF!</v>
      </c>
      <c r="M11" s="8" t="e">
        <f>SUMIF('Resource Plan'!$B:$B,$B11,'Resource Plan'!#REF!)</f>
        <v>#REF!</v>
      </c>
      <c r="N11" s="8" t="e">
        <f>SUMIF('Resource Plan'!$B:$B,$B11,'Resource Plan'!#REF!)</f>
        <v>#REF!</v>
      </c>
      <c r="O11" s="8" t="e">
        <f>SUMIF('Resource Plan'!$B:$B,$B11,'Resource Plan'!#REF!)</f>
        <v>#REF!</v>
      </c>
      <c r="P11" s="8" t="e">
        <f>SUMIF('Resource Plan'!$B:$B,$B11,'Resource Plan'!#REF!)</f>
        <v>#REF!</v>
      </c>
      <c r="Q11" s="8" t="e">
        <f>SUMIF('Resource Plan'!$B:$B,$B11,'Resource Plan'!#REF!)</f>
        <v>#REF!</v>
      </c>
    </row>
    <row r="12" spans="1:17">
      <c r="A12" s="7" t="str">
        <f>VLOOKUP(B12,'DS Nhân viên'!$C:$D,2,0)</f>
        <v>P.Nghiệp vụ IBS</v>
      </c>
      <c r="B12" s="7" t="str">
        <v>Nguyễn Thanh Mai</v>
      </c>
      <c r="C12" s="7" t="str">
        <f>A12&amp;VLOOKUP($B12,'DS Nhân viên'!$C:$W,6,0)</f>
        <v>P.Nghiệp vụ IBS</v>
      </c>
      <c r="D12" s="5">
        <v>2025</v>
      </c>
      <c r="E12" s="6" t="e">
        <f t="shared" si="0"/>
        <v>#REF!</v>
      </c>
      <c r="F12" s="8" t="e">
        <f>SUMIF('Resource Plan'!$B:$B,$B12,'Resource Plan'!#REF!)</f>
        <v>#REF!</v>
      </c>
      <c r="G12" s="8" t="e">
        <f>SUMIF('Resource Plan'!$B:$B,$B12,'Resource Plan'!#REF!)</f>
        <v>#REF!</v>
      </c>
      <c r="H12" s="8" t="e">
        <f>SUMIF('Resource Plan'!$B:$B,$B12,'Resource Plan'!#REF!)</f>
        <v>#REF!</v>
      </c>
      <c r="I12" s="8" t="e">
        <f>SUMIF('Resource Plan'!$B:$B,$B12,'Resource Plan'!#REF!)</f>
        <v>#REF!</v>
      </c>
      <c r="J12" s="8" t="e">
        <f>SUMIF('Resource Plan'!$B:$B,$B12,'Resource Plan'!#REF!)</f>
        <v>#REF!</v>
      </c>
      <c r="K12" s="8" t="e">
        <f>SUMIF('Resource Plan'!$B:$B,$B12,'Resource Plan'!#REF!)</f>
        <v>#REF!</v>
      </c>
      <c r="L12" s="8" t="e">
        <f>SUMIF('Resource Plan'!$B:$B,$B12,'Resource Plan'!#REF!)</f>
        <v>#REF!</v>
      </c>
      <c r="M12" s="8" t="e">
        <f>SUMIF('Resource Plan'!$B:$B,$B12,'Resource Plan'!#REF!)</f>
        <v>#REF!</v>
      </c>
      <c r="N12" s="8" t="e">
        <f>SUMIF('Resource Plan'!$B:$B,$B12,'Resource Plan'!#REF!)</f>
        <v>#REF!</v>
      </c>
      <c r="O12" s="8" t="e">
        <f>SUMIF('Resource Plan'!$B:$B,$B12,'Resource Plan'!#REF!)</f>
        <v>#REF!</v>
      </c>
      <c r="P12" s="8" t="e">
        <f>SUMIF('Resource Plan'!$B:$B,$B12,'Resource Plan'!#REF!)</f>
        <v>#REF!</v>
      </c>
      <c r="Q12" s="8" t="e">
        <f>SUMIF('Resource Plan'!$B:$B,$B12,'Resource Plan'!#REF!)</f>
        <v>#REF!</v>
      </c>
    </row>
    <row r="13" spans="1:17">
      <c r="A13" s="7" t="str">
        <f>VLOOKUP(B13,'DS Nhân viên'!$C:$D,2,0)</f>
        <v>P.Kỹ thuật IBS</v>
      </c>
      <c r="B13" s="7" t="str">
        <v>Đỗ Trung Hiếu</v>
      </c>
      <c r="C13" s="7" t="str">
        <f>A13&amp;VLOOKUP($B13,'DS Nhân viên'!$C:$W,6,0)</f>
        <v>P.Kỹ thuật IBS</v>
      </c>
      <c r="D13" s="5">
        <v>2025</v>
      </c>
      <c r="E13" s="6" t="e">
        <f t="shared" si="0"/>
        <v>#REF!</v>
      </c>
      <c r="F13" s="8" t="e">
        <f>SUMIF('Resource Plan'!$B:$B,$B13,'Resource Plan'!#REF!)</f>
        <v>#REF!</v>
      </c>
      <c r="G13" s="8" t="e">
        <f>SUMIF('Resource Plan'!$B:$B,$B13,'Resource Plan'!#REF!)</f>
        <v>#REF!</v>
      </c>
      <c r="H13" s="8" t="e">
        <f>SUMIF('Resource Plan'!$B:$B,$B13,'Resource Plan'!#REF!)</f>
        <v>#REF!</v>
      </c>
      <c r="I13" s="8" t="e">
        <f>SUMIF('Resource Plan'!$B:$B,$B13,'Resource Plan'!#REF!)</f>
        <v>#REF!</v>
      </c>
      <c r="J13" s="8" t="e">
        <f>SUMIF('Resource Plan'!$B:$B,$B13,'Resource Plan'!#REF!)</f>
        <v>#REF!</v>
      </c>
      <c r="K13" s="8" t="e">
        <f>SUMIF('Resource Plan'!$B:$B,$B13,'Resource Plan'!#REF!)</f>
        <v>#REF!</v>
      </c>
      <c r="L13" s="8" t="e">
        <f>SUMIF('Resource Plan'!$B:$B,$B13,'Resource Plan'!#REF!)</f>
        <v>#REF!</v>
      </c>
      <c r="M13" s="8" t="e">
        <f>SUMIF('Resource Plan'!$B:$B,$B13,'Resource Plan'!#REF!)</f>
        <v>#REF!</v>
      </c>
      <c r="N13" s="8" t="e">
        <f>SUMIF('Resource Plan'!$B:$B,$B13,'Resource Plan'!#REF!)</f>
        <v>#REF!</v>
      </c>
      <c r="O13" s="8" t="e">
        <f>SUMIF('Resource Plan'!$B:$B,$B13,'Resource Plan'!#REF!)</f>
        <v>#REF!</v>
      </c>
      <c r="P13" s="8" t="e">
        <f>SUMIF('Resource Plan'!$B:$B,$B13,'Resource Plan'!#REF!)</f>
        <v>#REF!</v>
      </c>
      <c r="Q13" s="8" t="e">
        <f>SUMIF('Resource Plan'!$B:$B,$B13,'Resource Plan'!#REF!)</f>
        <v>#REF!</v>
      </c>
    </row>
    <row r="14" spans="1:17">
      <c r="A14" s="7" t="str">
        <f>VLOOKUP(B14,'DS Nhân viên'!$C:$D,2,0)</f>
        <v>P.Kỹ thuật IBS</v>
      </c>
      <c r="B14" s="7" t="str">
        <v>Nguyễn Minh Hiếu</v>
      </c>
      <c r="C14" s="7" t="str">
        <f>A14&amp;VLOOKUP($B14,'DS Nhân viên'!$C:$W,6,0)</f>
        <v>P.Kỹ thuật IBS</v>
      </c>
      <c r="D14" s="5">
        <v>2025</v>
      </c>
      <c r="E14" s="6" t="e">
        <f t="shared" si="0"/>
        <v>#REF!</v>
      </c>
      <c r="F14" s="8" t="e">
        <f>SUMIF('Resource Plan'!$B:$B,$B14,'Resource Plan'!#REF!)</f>
        <v>#REF!</v>
      </c>
      <c r="G14" s="8" t="e">
        <f>SUMIF('Resource Plan'!$B:$B,$B14,'Resource Plan'!#REF!)</f>
        <v>#REF!</v>
      </c>
      <c r="H14" s="8" t="e">
        <f>SUMIF('Resource Plan'!$B:$B,$B14,'Resource Plan'!#REF!)</f>
        <v>#REF!</v>
      </c>
      <c r="I14" s="8" t="e">
        <f>SUMIF('Resource Plan'!$B:$B,$B14,'Resource Plan'!#REF!)</f>
        <v>#REF!</v>
      </c>
      <c r="J14" s="8" t="e">
        <f>SUMIF('Resource Plan'!$B:$B,$B14,'Resource Plan'!#REF!)</f>
        <v>#REF!</v>
      </c>
      <c r="K14" s="8" t="e">
        <f>SUMIF('Resource Plan'!$B:$B,$B14,'Resource Plan'!#REF!)</f>
        <v>#REF!</v>
      </c>
      <c r="L14" s="8" t="e">
        <f>SUMIF('Resource Plan'!$B:$B,$B14,'Resource Plan'!#REF!)</f>
        <v>#REF!</v>
      </c>
      <c r="M14" s="8" t="e">
        <f>SUMIF('Resource Plan'!$B:$B,$B14,'Resource Plan'!#REF!)</f>
        <v>#REF!</v>
      </c>
      <c r="N14" s="8" t="e">
        <f>SUMIF('Resource Plan'!$B:$B,$B14,'Resource Plan'!#REF!)</f>
        <v>#REF!</v>
      </c>
      <c r="O14" s="8" t="e">
        <f>SUMIF('Resource Plan'!$B:$B,$B14,'Resource Plan'!#REF!)</f>
        <v>#REF!</v>
      </c>
      <c r="P14" s="8" t="e">
        <f>SUMIF('Resource Plan'!$B:$B,$B14,'Resource Plan'!#REF!)</f>
        <v>#REF!</v>
      </c>
      <c r="Q14" s="8" t="e">
        <f>SUMIF('Resource Plan'!$B:$B,$B14,'Resource Plan'!#REF!)</f>
        <v>#REF!</v>
      </c>
    </row>
    <row r="15" spans="1:17">
      <c r="A15" s="7" t="str">
        <f>VLOOKUP(B15,'DS Nhân viên'!$C:$D,2,0)</f>
        <v>P.Nghiệp vụ IBS</v>
      </c>
      <c r="B15" s="7" t="str">
        <v>Hà Mạnh Tân</v>
      </c>
      <c r="C15" s="7" t="str">
        <f>A15&amp;VLOOKUP($B15,'DS Nhân viên'!$C:$W,6,0)</f>
        <v>P.Nghiệp vụ IBS</v>
      </c>
      <c r="D15" s="5">
        <v>2025</v>
      </c>
      <c r="E15" s="6" t="e">
        <f t="shared" si="0"/>
        <v>#REF!</v>
      </c>
      <c r="F15" s="8" t="e">
        <f>SUMIF('Resource Plan'!$B:$B,$B15,'Resource Plan'!#REF!)</f>
        <v>#REF!</v>
      </c>
      <c r="G15" s="8" t="e">
        <f>SUMIF('Resource Plan'!$B:$B,$B15,'Resource Plan'!#REF!)</f>
        <v>#REF!</v>
      </c>
      <c r="H15" s="8" t="e">
        <f>SUMIF('Resource Plan'!$B:$B,$B15,'Resource Plan'!#REF!)</f>
        <v>#REF!</v>
      </c>
      <c r="I15" s="8" t="e">
        <f>SUMIF('Resource Plan'!$B:$B,$B15,'Resource Plan'!#REF!)</f>
        <v>#REF!</v>
      </c>
      <c r="J15" s="8" t="e">
        <f>SUMIF('Resource Plan'!$B:$B,$B15,'Resource Plan'!#REF!)</f>
        <v>#REF!</v>
      </c>
      <c r="K15" s="8" t="e">
        <f>SUMIF('Resource Plan'!$B:$B,$B15,'Resource Plan'!#REF!)</f>
        <v>#REF!</v>
      </c>
      <c r="L15" s="8" t="e">
        <f>SUMIF('Resource Plan'!$B:$B,$B15,'Resource Plan'!#REF!)</f>
        <v>#REF!</v>
      </c>
      <c r="M15" s="8" t="e">
        <f>SUMIF('Resource Plan'!$B:$B,$B15,'Resource Plan'!#REF!)</f>
        <v>#REF!</v>
      </c>
      <c r="N15" s="8" t="e">
        <f>SUMIF('Resource Plan'!$B:$B,$B15,'Resource Plan'!#REF!)</f>
        <v>#REF!</v>
      </c>
      <c r="O15" s="8" t="e">
        <f>SUMIF('Resource Plan'!$B:$B,$B15,'Resource Plan'!#REF!)</f>
        <v>#REF!</v>
      </c>
      <c r="P15" s="8" t="e">
        <f>SUMIF('Resource Plan'!$B:$B,$B15,'Resource Plan'!#REF!)</f>
        <v>#REF!</v>
      </c>
      <c r="Q15" s="8" t="e">
        <f>SUMIF('Resource Plan'!$B:$B,$B15,'Resource Plan'!#REF!)</f>
        <v>#REF!</v>
      </c>
    </row>
    <row r="16" spans="1:17">
      <c r="A16" s="7" t="str">
        <f>VLOOKUP(B16,'DS Nhân viên'!$C:$D,2,0)</f>
        <v>P.Nghiệp vụ IBS</v>
      </c>
      <c r="B16" s="7" t="str">
        <v>Nguyễn Lưu Phất</v>
      </c>
      <c r="C16" s="7" t="str">
        <f>A16&amp;VLOOKUP($B16,'DS Nhân viên'!$C:$W,6,0)</f>
        <v>P.Nghiệp vụ IBS</v>
      </c>
      <c r="D16" s="5">
        <v>2025</v>
      </c>
      <c r="E16" s="6" t="e">
        <f t="shared" si="0"/>
        <v>#REF!</v>
      </c>
      <c r="F16" s="8" t="e">
        <f>SUMIF('Resource Plan'!$B:$B,$B16,'Resource Plan'!#REF!)</f>
        <v>#REF!</v>
      </c>
      <c r="G16" s="8" t="e">
        <f>SUMIF('Resource Plan'!$B:$B,$B16,'Resource Plan'!#REF!)</f>
        <v>#REF!</v>
      </c>
      <c r="H16" s="8" t="e">
        <f>SUMIF('Resource Plan'!$B:$B,$B16,'Resource Plan'!#REF!)</f>
        <v>#REF!</v>
      </c>
      <c r="I16" s="8" t="e">
        <f>SUMIF('Resource Plan'!$B:$B,$B16,'Resource Plan'!#REF!)</f>
        <v>#REF!</v>
      </c>
      <c r="J16" s="8" t="e">
        <f>SUMIF('Resource Plan'!$B:$B,$B16,'Resource Plan'!#REF!)</f>
        <v>#REF!</v>
      </c>
      <c r="K16" s="8" t="e">
        <f>SUMIF('Resource Plan'!$B:$B,$B16,'Resource Plan'!#REF!)</f>
        <v>#REF!</v>
      </c>
      <c r="L16" s="8" t="e">
        <f>SUMIF('Resource Plan'!$B:$B,$B16,'Resource Plan'!#REF!)</f>
        <v>#REF!</v>
      </c>
      <c r="M16" s="8" t="e">
        <f>SUMIF('Resource Plan'!$B:$B,$B16,'Resource Plan'!#REF!)</f>
        <v>#REF!</v>
      </c>
      <c r="N16" s="8" t="e">
        <f>SUMIF('Resource Plan'!$B:$B,$B16,'Resource Plan'!#REF!)</f>
        <v>#REF!</v>
      </c>
      <c r="O16" s="8" t="e">
        <f>SUMIF('Resource Plan'!$B:$B,$B16,'Resource Plan'!#REF!)</f>
        <v>#REF!</v>
      </c>
      <c r="P16" s="8" t="e">
        <f>SUMIF('Resource Plan'!$B:$B,$B16,'Resource Plan'!#REF!)</f>
        <v>#REF!</v>
      </c>
      <c r="Q16" s="8" t="e">
        <f>SUMIF('Resource Plan'!$B:$B,$B16,'Resource Plan'!#REF!)</f>
        <v>#REF!</v>
      </c>
    </row>
    <row r="17" spans="1:17">
      <c r="A17" s="7" t="str">
        <f>VLOOKUP(B17,'DS Nhân viên'!$C:$D,2,0)</f>
        <v>P.Nghiệp vụ IBS</v>
      </c>
      <c r="B17" s="7" t="str">
        <v>Trần Thị Thanh Huyền</v>
      </c>
      <c r="C17" s="7" t="str">
        <f>A17&amp;VLOOKUP($B17,'DS Nhân viên'!$C:$W,6,0)</f>
        <v>P.Nghiệp vụ IBS</v>
      </c>
      <c r="D17" s="5">
        <v>2025</v>
      </c>
      <c r="E17" s="6" t="e">
        <f t="shared" si="0"/>
        <v>#REF!</v>
      </c>
      <c r="F17" s="8" t="e">
        <f>SUMIF('Resource Plan'!$B:$B,$B17,'Resource Plan'!#REF!)</f>
        <v>#REF!</v>
      </c>
      <c r="G17" s="8" t="e">
        <f>SUMIF('Resource Plan'!$B:$B,$B17,'Resource Plan'!#REF!)</f>
        <v>#REF!</v>
      </c>
      <c r="H17" s="8" t="e">
        <f>SUMIF('Resource Plan'!$B:$B,$B17,'Resource Plan'!#REF!)</f>
        <v>#REF!</v>
      </c>
      <c r="I17" s="8" t="e">
        <f>SUMIF('Resource Plan'!$B:$B,$B17,'Resource Plan'!#REF!)</f>
        <v>#REF!</v>
      </c>
      <c r="J17" s="8" t="e">
        <f>SUMIF('Resource Plan'!$B:$B,$B17,'Resource Plan'!#REF!)</f>
        <v>#REF!</v>
      </c>
      <c r="K17" s="8" t="e">
        <f>SUMIF('Resource Plan'!$B:$B,$B17,'Resource Plan'!#REF!)</f>
        <v>#REF!</v>
      </c>
      <c r="L17" s="8" t="e">
        <f>SUMIF('Resource Plan'!$B:$B,$B17,'Resource Plan'!#REF!)</f>
        <v>#REF!</v>
      </c>
      <c r="M17" s="8" t="e">
        <f>SUMIF('Resource Plan'!$B:$B,$B17,'Resource Plan'!#REF!)</f>
        <v>#REF!</v>
      </c>
      <c r="N17" s="8" t="e">
        <f>SUMIF('Resource Plan'!$B:$B,$B17,'Resource Plan'!#REF!)</f>
        <v>#REF!</v>
      </c>
      <c r="O17" s="8" t="e">
        <f>SUMIF('Resource Plan'!$B:$B,$B17,'Resource Plan'!#REF!)</f>
        <v>#REF!</v>
      </c>
      <c r="P17" s="8" t="e">
        <f>SUMIF('Resource Plan'!$B:$B,$B17,'Resource Plan'!#REF!)</f>
        <v>#REF!</v>
      </c>
      <c r="Q17" s="8" t="e">
        <f>SUMIF('Resource Plan'!$B:$B,$B17,'Resource Plan'!#REF!)</f>
        <v>#REF!</v>
      </c>
    </row>
    <row r="18" spans="1:17">
      <c r="B18" t="str">
        <v>Trần Huyền Trang</v>
      </c>
    </row>
    <row r="19" spans="1:17">
      <c r="B19" t="str">
        <v>Lê Đình Phúc</v>
      </c>
    </row>
    <row r="20" spans="1:17">
      <c r="B20" t="str">
        <v>Nghiêm Thanh Tùng</v>
      </c>
    </row>
    <row r="21" spans="1:17">
      <c r="B21" t="str">
        <v>Nguyễn Văn Diên</v>
      </c>
    </row>
    <row r="22" spans="1:17">
      <c r="B22" t="str">
        <v>Nguyễn Khắc Mạnh</v>
      </c>
    </row>
    <row r="23" spans="1:17">
      <c r="B23" t="str">
        <v>Bùi Hữu Lâm</v>
      </c>
    </row>
    <row r="24" spans="1:17">
      <c r="B24" t="str">
        <v>Phí Quang Vinh</v>
      </c>
    </row>
    <row r="25" spans="1:17">
      <c r="B25" t="str">
        <v>Vương Duy Long</v>
      </c>
    </row>
    <row r="26" spans="1:17">
      <c r="B26" t="str">
        <v>Nguyễn Thị Trà Giang</v>
      </c>
    </row>
    <row r="27" spans="1:17">
      <c r="B27" t="str">
        <v>Nguyễn Anh Đức</v>
      </c>
    </row>
  </sheetData>
  <autoFilter ref="A1:Q19" xr:uid="{C9D215B9-8EBA-4B96-A92A-3085362B08F1}"/>
  <conditionalFormatting sqref="E2:Q17">
    <cfRule type="colorScale" priority="2">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22762AEF1B114BAC2A40ECFD07F489" ma:contentTypeVersion="16" ma:contentTypeDescription="Create a new document." ma:contentTypeScope="" ma:versionID="f58689a06bfbe097b6639af3be60bc87">
  <xsd:schema xmlns:xsd="http://www.w3.org/2001/XMLSchema" xmlns:xs="http://www.w3.org/2001/XMLSchema" xmlns:p="http://schemas.microsoft.com/office/2006/metadata/properties" xmlns:ns3="2b2109d6-aa20-4a5c-a51f-7deb86b1dd33" xmlns:ns4="5d2f6831-c327-4811-aa0e-b2db714bddb2" targetNamespace="http://schemas.microsoft.com/office/2006/metadata/properties" ma:root="true" ma:fieldsID="50881005a046e3aa071bce37db4de5dd" ns3:_="" ns4:_="">
    <xsd:import namespace="2b2109d6-aa20-4a5c-a51f-7deb86b1dd33"/>
    <xsd:import namespace="5d2f6831-c327-4811-aa0e-b2db714bddb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LengthInSeconds"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Location"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109d6-aa20-4a5c-a51f-7deb86b1dd3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2f6831-c327-4811-aa0e-b2db714bddb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LengthInSeconds" ma:index="13" nillable="true" ma:displayName="Length (seconds)"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d2f6831-c327-4811-aa0e-b2db714bddb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DB2291-C1AF-4EC9-B064-B092AC7C85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2109d6-aa20-4a5c-a51f-7deb86b1dd33"/>
    <ds:schemaRef ds:uri="5d2f6831-c327-4811-aa0e-b2db714bdd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F553A9-7882-410A-9CCF-34F9600C4215}">
  <ds:schemaRefs>
    <ds:schemaRef ds:uri="http://schemas.microsoft.com/office/2006/metadata/properties"/>
    <ds:schemaRef ds:uri="http://schemas.microsoft.com/office/infopath/2007/PartnerControls"/>
    <ds:schemaRef ds:uri="5d2f6831-c327-4811-aa0e-b2db714bddb2"/>
  </ds:schemaRefs>
</ds:datastoreItem>
</file>

<file path=customXml/itemProps3.xml><?xml version="1.0" encoding="utf-8"?>
<ds:datastoreItem xmlns:ds="http://schemas.openxmlformats.org/officeDocument/2006/customXml" ds:itemID="{F1A20B2D-1117-4FA1-8C87-F6814CE93C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Resource Plan</vt:lpstr>
      <vt:lpstr>DS Nhân viên</vt:lpstr>
      <vt:lpstr>DS Dự án</vt:lpstr>
      <vt:lpstr>Danh mục</vt:lpstr>
      <vt:lpstr>TH_GCSX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Công. Lê Chí</cp:lastModifiedBy>
  <cp:revision/>
  <dcterms:created xsi:type="dcterms:W3CDTF">2021-12-02T02:18:43Z</dcterms:created>
  <dcterms:modified xsi:type="dcterms:W3CDTF">2026-03-13T11:02:10Z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0x0101002B22762AEF1B114BAC2A40ECFD07F489</vt:lpwstr>
  </property>
</Properties>
</file>